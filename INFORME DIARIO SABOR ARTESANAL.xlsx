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280\Desktop\"/>
    </mc:Choice>
  </mc:AlternateContent>
  <xr:revisionPtr revIDLastSave="0" documentId="8_{F5DEA081-E9B9-437F-927F-580AFAE8252B}" xr6:coauthVersionLast="47" xr6:coauthVersionMax="47" xr10:uidLastSave="{00000000-0000-0000-0000-000000000000}"/>
  <bookViews>
    <workbookView xWindow="-120" yWindow="-120" windowWidth="20730" windowHeight="11040" activeTab="2" xr2:uid="{63299A47-DE3D-4501-B7BA-A9C7C51F2A67}"/>
  </bookViews>
  <sheets>
    <sheet name="MARZO" sheetId="1" r:id="rId1"/>
    <sheet name="ABRIL" sheetId="2" r:id="rId2"/>
    <sheet name="MAYO" sheetId="4" r:id="rId3"/>
    <sheet name="JUNIO" sheetId="5" r:id="rId4"/>
    <sheet name="JULIO" sheetId="6" r:id="rId5"/>
    <sheet name="AGOSTO" sheetId="7" r:id="rId6"/>
    <sheet name="SEPTIEMBRE" sheetId="8" r:id="rId7"/>
    <sheet name="OCTUBRE" sheetId="9" r:id="rId8"/>
    <sheet name="NOVIEMBRE" sheetId="10" r:id="rId9"/>
    <sheet name="DICIEMBRE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8" i="2" l="1"/>
  <c r="X28" i="2"/>
</calcChain>
</file>

<file path=xl/sharedStrings.xml><?xml version="1.0" encoding="utf-8"?>
<sst xmlns="http://schemas.openxmlformats.org/spreadsheetml/2006/main" count="270" uniqueCount="72">
  <si>
    <t>FECHA</t>
  </si>
  <si>
    <t>RES</t>
  </si>
  <si>
    <t>CERDO</t>
  </si>
  <si>
    <t>PECHUGA</t>
  </si>
  <si>
    <t>HIGADO</t>
  </si>
  <si>
    <t>GULASH</t>
  </si>
  <si>
    <t>HAMBURGUSA</t>
  </si>
  <si>
    <t>DESMECHADA</t>
  </si>
  <si>
    <t>ARROZ CON POLLO</t>
  </si>
  <si>
    <t>PESCADO</t>
  </si>
  <si>
    <t>TOTAL VENTAS</t>
  </si>
  <si>
    <t>NEQUI</t>
  </si>
  <si>
    <t>DAVIPLATA</t>
  </si>
  <si>
    <t>CHURRASCO</t>
  </si>
  <si>
    <t xml:space="preserve">COSTILLA </t>
  </si>
  <si>
    <t>EGRESOS</t>
  </si>
  <si>
    <t>ALAS</t>
  </si>
  <si>
    <t xml:space="preserve">PIERNA </t>
  </si>
  <si>
    <t>CERDO ORIENTAL</t>
  </si>
  <si>
    <t>CUENTA</t>
  </si>
  <si>
    <t>MIXTA</t>
  </si>
  <si>
    <t>CHULETA</t>
  </si>
  <si>
    <t xml:space="preserve">MARZO </t>
  </si>
  <si>
    <t>DESAYUNOS</t>
  </si>
  <si>
    <t>ABRIL</t>
  </si>
  <si>
    <t>PEZUÑA</t>
  </si>
  <si>
    <t>PECH</t>
  </si>
  <si>
    <t>PIERNA PER</t>
  </si>
  <si>
    <t>HAMB</t>
  </si>
  <si>
    <t>DESM</t>
  </si>
  <si>
    <t>TOTAL VENTA</t>
  </si>
  <si>
    <t>MAYO</t>
  </si>
  <si>
    <t>DESME</t>
  </si>
  <si>
    <t xml:space="preserve">TATIANA </t>
  </si>
  <si>
    <t xml:space="preserve">SUSANA </t>
  </si>
  <si>
    <t xml:space="preserve">DRA PATRICIA </t>
  </si>
  <si>
    <t>DON CARLOS</t>
  </si>
  <si>
    <t>DOÑA MARLENY</t>
  </si>
  <si>
    <t>MIRIAN</t>
  </si>
  <si>
    <t xml:space="preserve">MARINA </t>
  </si>
  <si>
    <t xml:space="preserve">DR CARLOS </t>
  </si>
  <si>
    <t>DON JUAN</t>
  </si>
  <si>
    <t xml:space="preserve">PREVENSALUD </t>
  </si>
  <si>
    <t>ROBALO</t>
  </si>
  <si>
    <t>BAGRE</t>
  </si>
  <si>
    <t>DRA EVELYN</t>
  </si>
  <si>
    <t>SALOME</t>
  </si>
  <si>
    <t>YELI</t>
  </si>
  <si>
    <t>INGENIERO</t>
  </si>
  <si>
    <t xml:space="preserve">PECHUGA </t>
  </si>
  <si>
    <t>3RES-2P.P</t>
  </si>
  <si>
    <t>2 ARROZ</t>
  </si>
  <si>
    <t>PECHUGA CA</t>
  </si>
  <si>
    <t xml:space="preserve">PECHUG CA </t>
  </si>
  <si>
    <t>P. PERNIL</t>
  </si>
  <si>
    <t>P.PERNIL</t>
  </si>
  <si>
    <t>JUAN DIEGO</t>
  </si>
  <si>
    <t xml:space="preserve">SRA ASTRID </t>
  </si>
  <si>
    <t>2 RES</t>
  </si>
  <si>
    <t xml:space="preserve">CHULETA </t>
  </si>
  <si>
    <t>COSTILLAS</t>
  </si>
  <si>
    <t>ARROZ</t>
  </si>
  <si>
    <t>PATA</t>
  </si>
  <si>
    <t xml:space="preserve">CERDO </t>
  </si>
  <si>
    <t>`PECHUGA</t>
  </si>
  <si>
    <t xml:space="preserve">P. NPERNIL </t>
  </si>
  <si>
    <t xml:space="preserve">GULAAH </t>
  </si>
  <si>
    <t>PIERNA P</t>
  </si>
  <si>
    <t>2 ORENTL</t>
  </si>
  <si>
    <t xml:space="preserve">CERDO OR </t>
  </si>
  <si>
    <t>JUNIO</t>
  </si>
  <si>
    <t>2 HIGADOS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</si>
</sst>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5E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6"/>
      <color rgb="FF005E00"/>
      <name val="Calibri"/>
      <family val="2"/>
      <scheme val="minor"/>
    </font>
    <font>
      <sz val="11"/>
      <color rgb="FF005E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44" fontId="0" fillId="0" borderId="0" xfId="1" applyFont="1"/>
    <xf numFmtId="44" fontId="2" fillId="0" borderId="0" xfId="1" applyFont="1"/>
    <xf numFmtId="44" fontId="7" fillId="0" borderId="0" xfId="1" applyFont="1"/>
    <xf numFmtId="0" fontId="7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44" fontId="3" fillId="0" borderId="1" xfId="1" applyFont="1" applyBorder="1"/>
    <xf numFmtId="0" fontId="3" fillId="0" borderId="1" xfId="0" applyFont="1" applyBorder="1" applyAlignment="1">
      <alignment horizontal="right"/>
    </xf>
    <xf numFmtId="0" fontId="6" fillId="0" borderId="1" xfId="0" applyFont="1" applyBorder="1"/>
    <xf numFmtId="44" fontId="6" fillId="0" borderId="1" xfId="1" applyFont="1" applyBorder="1"/>
    <xf numFmtId="44" fontId="4" fillId="0" borderId="1" xfId="1" applyFont="1" applyBorder="1"/>
    <xf numFmtId="0" fontId="5" fillId="0" borderId="1" xfId="0" applyFont="1" applyBorder="1"/>
    <xf numFmtId="44" fontId="5" fillId="0" borderId="1" xfId="1" applyFont="1" applyBorder="1"/>
    <xf numFmtId="44" fontId="2" fillId="0" borderId="1" xfId="1" applyFont="1" applyBorder="1"/>
    <xf numFmtId="16" fontId="0" fillId="0" borderId="1" xfId="0" applyNumberFormat="1" applyBorder="1"/>
    <xf numFmtId="44" fontId="0" fillId="0" borderId="1" xfId="1" applyFont="1" applyBorder="1"/>
    <xf numFmtId="0" fontId="7" fillId="0" borderId="1" xfId="0" applyFont="1" applyBorder="1"/>
    <xf numFmtId="44" fontId="7" fillId="0" borderId="1" xfId="1" applyFont="1" applyBorder="1"/>
    <xf numFmtId="164" fontId="7" fillId="0" borderId="1" xfId="1" applyNumberFormat="1" applyFont="1" applyBorder="1"/>
    <xf numFmtId="44" fontId="4" fillId="0" borderId="1" xfId="1" applyFont="1" applyBorder="1" applyAlignment="1">
      <alignment horizontal="right"/>
    </xf>
    <xf numFmtId="0" fontId="0" fillId="0" borderId="2" xfId="0" applyBorder="1"/>
    <xf numFmtId="44" fontId="0" fillId="0" borderId="2" xfId="1" applyFont="1" applyBorder="1"/>
    <xf numFmtId="0" fontId="7" fillId="0" borderId="2" xfId="0" applyFont="1" applyBorder="1"/>
    <xf numFmtId="44" fontId="7" fillId="0" borderId="2" xfId="1" applyFont="1" applyBorder="1"/>
    <xf numFmtId="44" fontId="2" fillId="0" borderId="2" xfId="1" applyFont="1" applyBorder="1"/>
    <xf numFmtId="16" fontId="0" fillId="0" borderId="2" xfId="0" applyNumberFormat="1" applyBorder="1"/>
    <xf numFmtId="16" fontId="0" fillId="2" borderId="1" xfId="0" applyNumberFormat="1" applyFill="1" applyBorder="1"/>
    <xf numFmtId="44" fontId="2" fillId="2" borderId="1" xfId="1" applyFont="1" applyFill="1" applyBorder="1"/>
    <xf numFmtId="0" fontId="2" fillId="2" borderId="1" xfId="0" applyFont="1" applyFill="1" applyBorder="1"/>
    <xf numFmtId="0" fontId="0" fillId="2" borderId="0" xfId="0" applyFill="1"/>
    <xf numFmtId="16" fontId="0" fillId="0" borderId="3" xfId="0" applyNumberFormat="1" applyBorder="1"/>
    <xf numFmtId="0" fontId="0" fillId="0" borderId="3" xfId="0" applyBorder="1"/>
    <xf numFmtId="44" fontId="2" fillId="0" borderId="3" xfId="1" applyFont="1" applyBorder="1"/>
    <xf numFmtId="44" fontId="0" fillId="0" borderId="3" xfId="1" applyFont="1" applyBorder="1"/>
    <xf numFmtId="0" fontId="7" fillId="0" borderId="3" xfId="0" applyFont="1" applyBorder="1"/>
    <xf numFmtId="44" fontId="7" fillId="0" borderId="3" xfId="1" applyFont="1" applyBorder="1"/>
    <xf numFmtId="44" fontId="8" fillId="3" borderId="1" xfId="1" applyFont="1" applyFill="1" applyBorder="1"/>
    <xf numFmtId="44" fontId="0" fillId="0" borderId="0" xfId="0" applyNumberFormat="1"/>
    <xf numFmtId="16" fontId="7" fillId="3" borderId="1" xfId="0" applyNumberFormat="1" applyFont="1" applyFill="1" applyBorder="1"/>
    <xf numFmtId="44" fontId="7" fillId="3" borderId="1" xfId="1" applyFont="1" applyFill="1" applyBorder="1"/>
    <xf numFmtId="0" fontId="7" fillId="3" borderId="1" xfId="0" applyFont="1" applyFill="1" applyBorder="1"/>
    <xf numFmtId="0" fontId="7" fillId="3" borderId="0" xfId="0" applyFont="1" applyFill="1"/>
    <xf numFmtId="44" fontId="9" fillId="3" borderId="1" xfId="1" applyFont="1" applyFill="1" applyBorder="1"/>
    <xf numFmtId="16" fontId="3" fillId="0" borderId="1" xfId="0" applyNumberFormat="1" applyFont="1" applyBorder="1"/>
    <xf numFmtId="16" fontId="6" fillId="3" borderId="1" xfId="0" applyNumberFormat="1" applyFont="1" applyFill="1" applyBorder="1"/>
    <xf numFmtId="44" fontId="3" fillId="0" borderId="1" xfId="1" applyFont="1" applyFill="1" applyBorder="1"/>
    <xf numFmtId="0" fontId="10" fillId="0" borderId="1" xfId="0" applyFont="1" applyBorder="1"/>
    <xf numFmtId="44" fontId="1" fillId="0" borderId="1" xfId="1" applyFont="1" applyBorder="1"/>
    <xf numFmtId="16" fontId="11" fillId="0" borderId="1" xfId="0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047C-315F-4219-AF67-B578667D7F95}">
  <sheetPr codeName="Hoja1"/>
  <dimension ref="A2:X49"/>
  <sheetViews>
    <sheetView zoomScale="62" zoomScaleNormal="62" workbookViewId="0">
      <selection activeCell="B19" sqref="B19"/>
    </sheetView>
  </sheetViews>
  <sheetFormatPr baseColWidth="10" defaultRowHeight="15" x14ac:dyDescent="0.25"/>
  <cols>
    <col min="2" max="2" width="16.42578125" style="2" customWidth="1"/>
    <col min="3" max="3" width="5.5703125" customWidth="1"/>
    <col min="4" max="4" width="8.28515625" customWidth="1"/>
    <col min="5" max="5" width="9.5703125" customWidth="1"/>
    <col min="6" max="6" width="12.140625" customWidth="1"/>
    <col min="7" max="7" width="8.85546875" customWidth="1"/>
    <col min="8" max="8" width="8.7109375" customWidth="1"/>
    <col min="9" max="9" width="9" customWidth="1"/>
    <col min="10" max="10" width="8.28515625" customWidth="1"/>
    <col min="11" max="11" width="8.42578125" customWidth="1"/>
    <col min="12" max="12" width="6.5703125" customWidth="1"/>
    <col min="13" max="13" width="17" customWidth="1"/>
    <col min="14" max="14" width="11" customWidth="1"/>
    <col min="15" max="15" width="7.7109375" customWidth="1"/>
    <col min="16" max="16" width="12.28515625" customWidth="1"/>
    <col min="17" max="17" width="14" customWidth="1"/>
    <col min="18" max="18" width="9.28515625" customWidth="1"/>
    <col min="19" max="19" width="10.42578125" style="5" customWidth="1"/>
    <col min="20" max="20" width="18.5703125" style="4" customWidth="1"/>
    <col min="21" max="21" width="16.140625" style="2" customWidth="1"/>
    <col min="22" max="22" width="15" style="2" bestFit="1" customWidth="1"/>
    <col min="23" max="23" width="16.28515625" style="2" bestFit="1" customWidth="1"/>
    <col min="24" max="24" width="19.7109375" style="3" customWidth="1"/>
  </cols>
  <sheetData>
    <row r="2" spans="1:24" ht="18" customHeight="1" x14ac:dyDescent="0.25">
      <c r="A2" s="8" t="s">
        <v>0</v>
      </c>
      <c r="B2" s="9" t="s">
        <v>23</v>
      </c>
      <c r="C2" s="8" t="s">
        <v>1</v>
      </c>
      <c r="D2" s="8" t="s">
        <v>2</v>
      </c>
      <c r="E2" s="8" t="s">
        <v>3</v>
      </c>
      <c r="F2" s="8" t="s">
        <v>18</v>
      </c>
      <c r="G2" s="8" t="s">
        <v>17</v>
      </c>
      <c r="H2" s="8" t="s">
        <v>4</v>
      </c>
      <c r="I2" s="8" t="s">
        <v>5</v>
      </c>
      <c r="J2" s="8" t="s">
        <v>6</v>
      </c>
      <c r="K2" s="8" t="s">
        <v>25</v>
      </c>
      <c r="L2" s="8" t="s">
        <v>7</v>
      </c>
      <c r="M2" s="8" t="s">
        <v>8</v>
      </c>
      <c r="N2" s="8" t="s">
        <v>9</v>
      </c>
      <c r="O2" s="10" t="s">
        <v>16</v>
      </c>
      <c r="P2" s="10" t="s">
        <v>20</v>
      </c>
      <c r="Q2" s="8" t="s">
        <v>13</v>
      </c>
      <c r="R2" s="8" t="s">
        <v>21</v>
      </c>
      <c r="S2" s="11" t="s">
        <v>14</v>
      </c>
      <c r="T2" s="12" t="s">
        <v>10</v>
      </c>
      <c r="U2" s="9" t="s">
        <v>11</v>
      </c>
      <c r="V2" s="9" t="s">
        <v>12</v>
      </c>
      <c r="W2" s="9" t="s">
        <v>19</v>
      </c>
      <c r="X2" s="13" t="s">
        <v>15</v>
      </c>
    </row>
    <row r="3" spans="1:24" x14ac:dyDescent="0.25">
      <c r="A3" s="14" t="s">
        <v>22</v>
      </c>
      <c r="B3" s="15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  <c r="P3" s="10"/>
      <c r="Q3" s="8"/>
      <c r="R3" s="8"/>
      <c r="S3" s="11"/>
      <c r="T3" s="12"/>
      <c r="U3" s="9"/>
      <c r="V3" s="9"/>
      <c r="W3" s="9"/>
      <c r="X3" s="16"/>
    </row>
    <row r="4" spans="1:24" x14ac:dyDescent="0.25">
      <c r="A4" s="17">
        <v>46093</v>
      </c>
      <c r="B4" s="18">
        <v>0</v>
      </c>
      <c r="C4" s="7">
        <v>6</v>
      </c>
      <c r="D4" s="7">
        <v>5</v>
      </c>
      <c r="E4" s="7">
        <v>12</v>
      </c>
      <c r="F4" s="7">
        <v>0</v>
      </c>
      <c r="G4" s="7">
        <v>10</v>
      </c>
      <c r="H4" s="7">
        <v>9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2</v>
      </c>
      <c r="Q4" s="7">
        <v>0</v>
      </c>
      <c r="R4" s="7">
        <v>0</v>
      </c>
      <c r="S4" s="19">
        <v>0</v>
      </c>
      <c r="T4" s="20">
        <v>650000</v>
      </c>
      <c r="U4" s="18">
        <v>123000</v>
      </c>
      <c r="V4" s="18">
        <v>0</v>
      </c>
      <c r="W4" s="18">
        <v>0</v>
      </c>
      <c r="X4" s="16">
        <v>301000</v>
      </c>
    </row>
    <row r="5" spans="1:24" x14ac:dyDescent="0.25">
      <c r="A5" s="17">
        <v>46094</v>
      </c>
      <c r="B5" s="18">
        <v>0</v>
      </c>
      <c r="C5" s="7">
        <v>17</v>
      </c>
      <c r="D5" s="7">
        <v>8</v>
      </c>
      <c r="E5" s="7">
        <v>5</v>
      </c>
      <c r="F5" s="7">
        <v>0</v>
      </c>
      <c r="G5" s="7">
        <v>15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19">
        <v>0</v>
      </c>
      <c r="T5" s="20">
        <v>634000</v>
      </c>
      <c r="U5" s="18">
        <v>102000</v>
      </c>
      <c r="V5" s="18">
        <v>0</v>
      </c>
      <c r="W5" s="18">
        <v>0</v>
      </c>
      <c r="X5" s="16">
        <v>380000</v>
      </c>
    </row>
    <row r="6" spans="1:24" x14ac:dyDescent="0.25">
      <c r="A6" s="17">
        <v>46095</v>
      </c>
      <c r="B6" s="18">
        <v>65000</v>
      </c>
      <c r="C6" s="7">
        <v>18</v>
      </c>
      <c r="D6" s="7">
        <v>3</v>
      </c>
      <c r="E6" s="7">
        <v>16</v>
      </c>
      <c r="F6" s="7">
        <v>0</v>
      </c>
      <c r="G6" s="7">
        <v>13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9</v>
      </c>
      <c r="O6" s="7">
        <v>0</v>
      </c>
      <c r="P6" s="7">
        <v>0</v>
      </c>
      <c r="Q6" s="7">
        <v>2</v>
      </c>
      <c r="R6" s="7">
        <v>0</v>
      </c>
      <c r="S6" s="19">
        <v>1</v>
      </c>
      <c r="T6" s="20">
        <v>990000</v>
      </c>
      <c r="U6" s="18">
        <v>140000</v>
      </c>
      <c r="V6" s="18">
        <v>0</v>
      </c>
      <c r="W6" s="18">
        <v>0</v>
      </c>
      <c r="X6" s="16">
        <v>140000</v>
      </c>
    </row>
    <row r="7" spans="1:24" x14ac:dyDescent="0.25">
      <c r="A7" s="17">
        <v>46097</v>
      </c>
      <c r="B7" s="18">
        <v>28000</v>
      </c>
      <c r="C7" s="7">
        <v>19</v>
      </c>
      <c r="D7" s="7">
        <v>6</v>
      </c>
      <c r="E7" s="7">
        <v>12</v>
      </c>
      <c r="F7" s="7">
        <v>0</v>
      </c>
      <c r="G7" s="7">
        <v>17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2</v>
      </c>
      <c r="P7" s="7">
        <v>0</v>
      </c>
      <c r="Q7" s="7">
        <v>0</v>
      </c>
      <c r="R7" s="7">
        <v>0</v>
      </c>
      <c r="S7" s="19">
        <v>0</v>
      </c>
      <c r="T7" s="20">
        <v>813000</v>
      </c>
      <c r="U7" s="18">
        <v>154000</v>
      </c>
      <c r="V7" s="18">
        <v>28000</v>
      </c>
      <c r="W7" s="18">
        <v>0</v>
      </c>
      <c r="X7" s="16">
        <v>498500</v>
      </c>
    </row>
    <row r="8" spans="1:24" x14ac:dyDescent="0.25">
      <c r="A8" s="17">
        <v>46098</v>
      </c>
      <c r="B8" s="18">
        <v>40000</v>
      </c>
      <c r="C8" s="7">
        <v>10</v>
      </c>
      <c r="D8" s="7">
        <v>4</v>
      </c>
      <c r="E8" s="7">
        <v>8</v>
      </c>
      <c r="F8" s="7">
        <v>8</v>
      </c>
      <c r="G8" s="7">
        <v>13</v>
      </c>
      <c r="H8" s="7">
        <v>0</v>
      </c>
      <c r="I8" s="7">
        <v>0</v>
      </c>
      <c r="J8" s="7">
        <v>0</v>
      </c>
      <c r="K8" s="7">
        <v>0</v>
      </c>
      <c r="L8" s="7">
        <v>8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19">
        <v>0</v>
      </c>
      <c r="T8" s="20">
        <v>782000</v>
      </c>
      <c r="U8" s="18">
        <v>0</v>
      </c>
      <c r="V8" s="18">
        <v>0</v>
      </c>
      <c r="W8" s="18">
        <v>250000</v>
      </c>
      <c r="X8" s="16">
        <v>446500</v>
      </c>
    </row>
    <row r="9" spans="1:24" x14ac:dyDescent="0.25">
      <c r="A9" s="17">
        <v>46099</v>
      </c>
      <c r="B9" s="18">
        <v>26000</v>
      </c>
      <c r="C9" s="7">
        <v>25</v>
      </c>
      <c r="D9" s="7">
        <v>6</v>
      </c>
      <c r="E9" s="7">
        <v>18</v>
      </c>
      <c r="F9" s="7">
        <v>0</v>
      </c>
      <c r="G9" s="7">
        <v>10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3</v>
      </c>
      <c r="Q9" s="7">
        <v>0</v>
      </c>
      <c r="R9" s="7">
        <v>0</v>
      </c>
      <c r="S9" s="19">
        <v>1</v>
      </c>
      <c r="T9" s="20">
        <v>979000</v>
      </c>
      <c r="U9" s="18">
        <v>315000</v>
      </c>
      <c r="V9" s="18">
        <v>40000</v>
      </c>
      <c r="W9" s="18">
        <v>0</v>
      </c>
      <c r="X9" s="16">
        <v>284700</v>
      </c>
    </row>
    <row r="10" spans="1:24" x14ac:dyDescent="0.25">
      <c r="A10" s="17">
        <v>46100</v>
      </c>
      <c r="B10" s="18">
        <v>27000</v>
      </c>
      <c r="C10" s="7">
        <v>4</v>
      </c>
      <c r="D10" s="7">
        <v>5</v>
      </c>
      <c r="E10" s="7">
        <v>3</v>
      </c>
      <c r="F10" s="7">
        <v>0</v>
      </c>
      <c r="G10" s="7">
        <v>6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23</v>
      </c>
      <c r="N10" s="7">
        <v>0</v>
      </c>
      <c r="O10" s="7">
        <v>3</v>
      </c>
      <c r="P10" s="7">
        <v>0</v>
      </c>
      <c r="Q10" s="7">
        <v>0</v>
      </c>
      <c r="R10" s="7">
        <v>0</v>
      </c>
      <c r="S10" s="19">
        <v>0</v>
      </c>
      <c r="T10" s="20">
        <v>644000</v>
      </c>
      <c r="U10" s="18">
        <v>98000</v>
      </c>
      <c r="V10" s="18">
        <v>0</v>
      </c>
      <c r="W10" s="18">
        <v>0</v>
      </c>
      <c r="X10" s="16">
        <v>282700</v>
      </c>
    </row>
    <row r="11" spans="1:24" x14ac:dyDescent="0.25">
      <c r="A11" s="17">
        <v>46101</v>
      </c>
      <c r="B11" s="18">
        <v>77000</v>
      </c>
      <c r="C11" s="7">
        <v>17</v>
      </c>
      <c r="D11" s="7">
        <v>10</v>
      </c>
      <c r="E11" s="7">
        <v>9</v>
      </c>
      <c r="F11" s="7">
        <v>0</v>
      </c>
      <c r="G11" s="7">
        <v>11</v>
      </c>
      <c r="H11" s="7">
        <v>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1</v>
      </c>
      <c r="Q11" s="7">
        <v>0</v>
      </c>
      <c r="R11" s="7">
        <v>0</v>
      </c>
      <c r="S11" s="19">
        <v>0</v>
      </c>
      <c r="T11" s="21">
        <v>851000</v>
      </c>
      <c r="U11" s="18">
        <v>154000</v>
      </c>
      <c r="V11" s="18">
        <v>42000</v>
      </c>
      <c r="W11" s="18">
        <v>0</v>
      </c>
      <c r="X11" s="16">
        <v>217400</v>
      </c>
    </row>
    <row r="12" spans="1:24" x14ac:dyDescent="0.25">
      <c r="A12" s="17">
        <v>46102</v>
      </c>
      <c r="B12" s="18">
        <v>31000</v>
      </c>
      <c r="C12" s="7">
        <v>12</v>
      </c>
      <c r="D12" s="7">
        <v>1</v>
      </c>
      <c r="E12" s="7">
        <v>10</v>
      </c>
      <c r="F12" s="7">
        <v>0</v>
      </c>
      <c r="G12" s="7">
        <v>5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8</v>
      </c>
      <c r="S12" s="19">
        <v>0</v>
      </c>
      <c r="T12" s="20">
        <v>535000</v>
      </c>
      <c r="U12" s="18">
        <v>47000</v>
      </c>
      <c r="V12" s="18">
        <v>0</v>
      </c>
      <c r="W12" s="18">
        <v>0</v>
      </c>
      <c r="X12" s="16">
        <v>311850</v>
      </c>
    </row>
    <row r="13" spans="1:24" x14ac:dyDescent="0.25">
      <c r="A13" s="17">
        <v>46105</v>
      </c>
      <c r="B13" s="18">
        <v>27000</v>
      </c>
      <c r="C13" s="7">
        <v>20</v>
      </c>
      <c r="D13" s="7">
        <v>8</v>
      </c>
      <c r="E13" s="7">
        <v>19</v>
      </c>
      <c r="F13" s="7">
        <v>0</v>
      </c>
      <c r="G13" s="7">
        <v>18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7</v>
      </c>
      <c r="O13" s="7">
        <v>0</v>
      </c>
      <c r="P13" s="7">
        <v>1</v>
      </c>
      <c r="Q13" s="7">
        <v>0</v>
      </c>
      <c r="R13" s="7">
        <v>0</v>
      </c>
      <c r="S13" s="19">
        <v>0</v>
      </c>
      <c r="T13" s="20">
        <v>1093000</v>
      </c>
      <c r="U13" s="18">
        <v>158000</v>
      </c>
      <c r="V13" s="18">
        <v>0</v>
      </c>
      <c r="W13" s="18">
        <v>0</v>
      </c>
      <c r="X13" s="16">
        <v>661000</v>
      </c>
    </row>
    <row r="14" spans="1:24" x14ac:dyDescent="0.25">
      <c r="A14" s="17">
        <v>46106</v>
      </c>
      <c r="B14" s="18">
        <v>18000</v>
      </c>
      <c r="C14" s="7">
        <v>12</v>
      </c>
      <c r="D14" s="7">
        <v>2</v>
      </c>
      <c r="E14" s="7">
        <v>6</v>
      </c>
      <c r="F14" s="7">
        <v>0</v>
      </c>
      <c r="G14" s="7">
        <v>17</v>
      </c>
      <c r="H14" s="7">
        <v>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9</v>
      </c>
      <c r="O14" s="7">
        <v>0</v>
      </c>
      <c r="P14" s="7">
        <v>0</v>
      </c>
      <c r="Q14" s="7">
        <v>0</v>
      </c>
      <c r="R14" s="7">
        <v>0</v>
      </c>
      <c r="S14" s="19">
        <v>0</v>
      </c>
      <c r="T14" s="20">
        <v>734000</v>
      </c>
      <c r="U14" s="18">
        <v>119000</v>
      </c>
      <c r="V14" s="18">
        <v>0</v>
      </c>
      <c r="W14" s="18">
        <v>0</v>
      </c>
      <c r="X14" s="16">
        <v>545800</v>
      </c>
    </row>
    <row r="15" spans="1:24" x14ac:dyDescent="0.25">
      <c r="A15" s="17">
        <v>46107</v>
      </c>
      <c r="B15" s="18">
        <v>0</v>
      </c>
      <c r="C15" s="7">
        <v>5</v>
      </c>
      <c r="D15" s="7">
        <v>1</v>
      </c>
      <c r="E15" s="7">
        <v>0</v>
      </c>
      <c r="F15" s="7">
        <v>0</v>
      </c>
      <c r="G15" s="7">
        <v>3</v>
      </c>
      <c r="H15" s="7">
        <v>0</v>
      </c>
      <c r="I15" s="7">
        <v>3</v>
      </c>
      <c r="J15" s="7">
        <v>0</v>
      </c>
      <c r="K15" s="7">
        <v>0</v>
      </c>
      <c r="L15" s="7">
        <v>0</v>
      </c>
      <c r="M15" s="7">
        <v>35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19">
        <v>0</v>
      </c>
      <c r="T15" s="20">
        <v>693000</v>
      </c>
      <c r="U15" s="18">
        <v>146000</v>
      </c>
      <c r="V15" s="18">
        <v>0</v>
      </c>
      <c r="W15" s="18">
        <v>0</v>
      </c>
      <c r="X15" s="16">
        <v>427000</v>
      </c>
    </row>
    <row r="16" spans="1:24" x14ac:dyDescent="0.25">
      <c r="A16" s="17">
        <v>46108</v>
      </c>
      <c r="B16" s="18">
        <v>0</v>
      </c>
      <c r="C16" s="7">
        <v>3</v>
      </c>
      <c r="D16" s="7">
        <v>1</v>
      </c>
      <c r="E16" s="7">
        <v>4</v>
      </c>
      <c r="F16" s="7">
        <v>5</v>
      </c>
      <c r="G16" s="7">
        <v>8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11</v>
      </c>
      <c r="O16" s="7">
        <v>0</v>
      </c>
      <c r="P16" s="7">
        <v>0</v>
      </c>
      <c r="Q16" s="7">
        <v>0</v>
      </c>
      <c r="R16" s="7">
        <v>0</v>
      </c>
      <c r="S16" s="19">
        <v>0</v>
      </c>
      <c r="T16" s="20">
        <v>451000</v>
      </c>
      <c r="U16" s="18">
        <v>55000</v>
      </c>
      <c r="V16" s="18">
        <v>0</v>
      </c>
      <c r="W16" s="18">
        <v>0</v>
      </c>
      <c r="X16" s="16">
        <v>378600</v>
      </c>
    </row>
    <row r="17" spans="1:24" x14ac:dyDescent="0.25">
      <c r="A17" s="17">
        <v>46109</v>
      </c>
      <c r="B17" s="18">
        <v>104000</v>
      </c>
      <c r="C17" s="7">
        <v>10</v>
      </c>
      <c r="D17" s="7">
        <v>3</v>
      </c>
      <c r="E17" s="7">
        <v>3</v>
      </c>
      <c r="F17" s="7">
        <v>0</v>
      </c>
      <c r="G17" s="7">
        <v>9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9">
        <v>0</v>
      </c>
      <c r="T17" s="20">
        <v>456000</v>
      </c>
      <c r="U17" s="18">
        <v>112000</v>
      </c>
      <c r="V17" s="18">
        <v>0</v>
      </c>
      <c r="W17" s="18">
        <v>0</v>
      </c>
      <c r="X17" s="16">
        <v>288200</v>
      </c>
    </row>
    <row r="18" spans="1:24" x14ac:dyDescent="0.25">
      <c r="A18" s="17">
        <v>46111</v>
      </c>
      <c r="B18" s="18">
        <v>0</v>
      </c>
      <c r="C18" s="7">
        <v>8</v>
      </c>
      <c r="D18" s="7">
        <v>4</v>
      </c>
      <c r="E18" s="7">
        <v>21</v>
      </c>
      <c r="F18" s="7">
        <v>0</v>
      </c>
      <c r="G18" s="7">
        <v>7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19">
        <v>0</v>
      </c>
      <c r="T18" s="20">
        <v>576000</v>
      </c>
      <c r="U18" s="18">
        <v>296000</v>
      </c>
      <c r="V18" s="18">
        <v>0</v>
      </c>
      <c r="W18" s="18">
        <v>0</v>
      </c>
      <c r="X18" s="16">
        <v>299650</v>
      </c>
    </row>
    <row r="19" spans="1:24" ht="15.75" thickBot="1" x14ac:dyDescent="0.3">
      <c r="A19" s="28">
        <v>46112</v>
      </c>
      <c r="B19" s="24">
        <v>72000</v>
      </c>
      <c r="C19" s="23">
        <v>7</v>
      </c>
      <c r="D19" s="23">
        <v>5</v>
      </c>
      <c r="E19" s="23">
        <v>7</v>
      </c>
      <c r="F19" s="23">
        <v>0</v>
      </c>
      <c r="G19" s="23">
        <v>10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5">
        <v>0</v>
      </c>
      <c r="T19" s="26">
        <v>472000</v>
      </c>
      <c r="U19" s="24">
        <v>72000</v>
      </c>
      <c r="V19" s="24">
        <v>0</v>
      </c>
      <c r="W19" s="24">
        <v>0</v>
      </c>
      <c r="X19" s="27">
        <v>198100</v>
      </c>
    </row>
    <row r="20" spans="1:24" x14ac:dyDescent="0.25">
      <c r="B20"/>
      <c r="S20"/>
      <c r="T20"/>
      <c r="U20"/>
      <c r="V20"/>
      <c r="W20"/>
      <c r="X20"/>
    </row>
    <row r="21" spans="1:24" x14ac:dyDescent="0.25">
      <c r="B21"/>
      <c r="S21"/>
      <c r="T21"/>
      <c r="U21"/>
      <c r="V21"/>
      <c r="W21"/>
      <c r="X21"/>
    </row>
    <row r="22" spans="1:24" x14ac:dyDescent="0.25">
      <c r="B22"/>
      <c r="S22"/>
      <c r="T22"/>
      <c r="U22"/>
      <c r="V22"/>
      <c r="W22"/>
      <c r="X22"/>
    </row>
    <row r="23" spans="1:24" x14ac:dyDescent="0.25">
      <c r="B23"/>
      <c r="S23"/>
      <c r="T23"/>
      <c r="U23"/>
      <c r="V23"/>
      <c r="W23"/>
      <c r="X23"/>
    </row>
    <row r="24" spans="1:24" x14ac:dyDescent="0.25">
      <c r="B24"/>
      <c r="S24"/>
      <c r="T24"/>
      <c r="U24"/>
      <c r="V24"/>
      <c r="W24"/>
      <c r="X24"/>
    </row>
    <row r="25" spans="1:24" x14ac:dyDescent="0.25">
      <c r="B25"/>
      <c r="S25"/>
      <c r="T25"/>
      <c r="U25"/>
      <c r="V25"/>
      <c r="W25"/>
      <c r="X25"/>
    </row>
    <row r="26" spans="1:24" x14ac:dyDescent="0.25">
      <c r="B26"/>
      <c r="S26"/>
      <c r="T26"/>
      <c r="U26"/>
      <c r="V26"/>
      <c r="W26"/>
      <c r="X26"/>
    </row>
    <row r="27" spans="1:24" x14ac:dyDescent="0.25">
      <c r="B27"/>
      <c r="S27"/>
      <c r="T27"/>
      <c r="U27"/>
      <c r="V27"/>
      <c r="W27"/>
      <c r="X27"/>
    </row>
    <row r="28" spans="1:24" x14ac:dyDescent="0.25">
      <c r="B28"/>
      <c r="S28"/>
      <c r="T28"/>
      <c r="U28"/>
      <c r="V28"/>
      <c r="W28"/>
      <c r="X28"/>
    </row>
    <row r="29" spans="1:24" x14ac:dyDescent="0.25">
      <c r="B29"/>
      <c r="S29"/>
      <c r="T29"/>
      <c r="U29"/>
      <c r="V29"/>
      <c r="W29"/>
      <c r="X29"/>
    </row>
    <row r="30" spans="1:24" x14ac:dyDescent="0.25">
      <c r="B30"/>
      <c r="S30"/>
      <c r="T30"/>
      <c r="U30"/>
      <c r="V30"/>
      <c r="W30"/>
      <c r="X30"/>
    </row>
    <row r="31" spans="1:24" x14ac:dyDescent="0.25">
      <c r="B31"/>
      <c r="S31"/>
      <c r="T31"/>
      <c r="U31"/>
      <c r="V31"/>
      <c r="W31"/>
      <c r="X31"/>
    </row>
    <row r="32" spans="1:24" x14ac:dyDescent="0.25">
      <c r="B32"/>
      <c r="S32"/>
      <c r="T32"/>
      <c r="U32"/>
      <c r="V32"/>
      <c r="W32"/>
      <c r="X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ht="17.25" customHeight="1" x14ac:dyDescent="0.25"/>
    <row r="40" s="6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s="1" customFormat="1" x14ac:dyDescent="0.25"/>
    <row r="46" customFormat="1" x14ac:dyDescent="0.25"/>
    <row r="47" customFormat="1" x14ac:dyDescent="0.25"/>
    <row r="48" customFormat="1" x14ac:dyDescent="0.25"/>
    <row r="49" customFormat="1" x14ac:dyDescent="0.25"/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DCCC-3B69-4F08-9D5E-1982937FED72}">
  <sheetPr codeName="Hoja2"/>
  <dimension ref="A2:X28"/>
  <sheetViews>
    <sheetView topLeftCell="A12" zoomScale="91" zoomScaleNormal="59" workbookViewId="0">
      <selection activeCell="T29" sqref="T29"/>
    </sheetView>
  </sheetViews>
  <sheetFormatPr baseColWidth="10" defaultRowHeight="15" x14ac:dyDescent="0.25"/>
  <cols>
    <col min="2" max="2" width="16.7109375" customWidth="1"/>
    <col min="13" max="13" width="19.140625" customWidth="1"/>
    <col min="20" max="20" width="17.7109375" customWidth="1"/>
    <col min="21" max="21" width="16.28515625" customWidth="1"/>
    <col min="22" max="22" width="17.28515625" customWidth="1"/>
    <col min="23" max="23" width="16.7109375" customWidth="1"/>
    <col min="24" max="24" width="21.5703125" customWidth="1"/>
  </cols>
  <sheetData>
    <row r="2" spans="1:24" x14ac:dyDescent="0.25">
      <c r="A2" s="14"/>
      <c r="B2" s="9" t="s">
        <v>23</v>
      </c>
      <c r="C2" s="8" t="s">
        <v>1</v>
      </c>
      <c r="D2" s="8" t="s">
        <v>2</v>
      </c>
      <c r="E2" s="8" t="s">
        <v>26</v>
      </c>
      <c r="F2" s="8" t="s">
        <v>18</v>
      </c>
      <c r="G2" s="8" t="s">
        <v>27</v>
      </c>
      <c r="H2" s="8" t="s">
        <v>4</v>
      </c>
      <c r="I2" s="8" t="s">
        <v>5</v>
      </c>
      <c r="J2" s="8" t="s">
        <v>28</v>
      </c>
      <c r="K2" s="8" t="s">
        <v>25</v>
      </c>
      <c r="L2" s="8" t="s">
        <v>29</v>
      </c>
      <c r="M2" s="8" t="s">
        <v>8</v>
      </c>
      <c r="N2" s="8" t="s">
        <v>9</v>
      </c>
      <c r="O2" s="8" t="s">
        <v>16</v>
      </c>
      <c r="P2" s="8" t="s">
        <v>20</v>
      </c>
      <c r="Q2" s="8" t="s">
        <v>13</v>
      </c>
      <c r="R2" s="8" t="s">
        <v>21</v>
      </c>
      <c r="S2" s="11" t="s">
        <v>14</v>
      </c>
      <c r="T2" s="12" t="s">
        <v>30</v>
      </c>
      <c r="U2" s="9" t="s">
        <v>11</v>
      </c>
      <c r="V2" s="9" t="s">
        <v>12</v>
      </c>
      <c r="W2" s="9" t="s">
        <v>19</v>
      </c>
      <c r="X2" s="22" t="s">
        <v>15</v>
      </c>
    </row>
    <row r="3" spans="1:24" x14ac:dyDescent="0.25">
      <c r="A3" s="14" t="s">
        <v>24</v>
      </c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1"/>
      <c r="T3" s="12"/>
      <c r="U3" s="9"/>
      <c r="V3" s="9"/>
      <c r="W3" s="9"/>
      <c r="X3" s="22"/>
    </row>
    <row r="4" spans="1:24" x14ac:dyDescent="0.25">
      <c r="A4" s="17">
        <v>46113</v>
      </c>
      <c r="B4" s="18">
        <v>23000</v>
      </c>
      <c r="C4" s="7">
        <v>8</v>
      </c>
      <c r="D4" s="7">
        <v>1</v>
      </c>
      <c r="E4" s="7">
        <v>0</v>
      </c>
      <c r="F4" s="7">
        <v>0</v>
      </c>
      <c r="G4" s="7">
        <v>11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9</v>
      </c>
      <c r="O4" s="7">
        <v>0</v>
      </c>
      <c r="P4" s="7">
        <v>0</v>
      </c>
      <c r="Q4" s="7">
        <v>0</v>
      </c>
      <c r="R4" s="7">
        <v>0</v>
      </c>
      <c r="S4" s="19">
        <v>0</v>
      </c>
      <c r="T4" s="20">
        <v>435000</v>
      </c>
      <c r="U4" s="18">
        <v>83000</v>
      </c>
      <c r="V4" s="18">
        <v>0</v>
      </c>
      <c r="W4" s="18">
        <v>0</v>
      </c>
      <c r="X4" s="16">
        <v>216400</v>
      </c>
    </row>
    <row r="5" spans="1:24" x14ac:dyDescent="0.25">
      <c r="A5" s="17">
        <v>46116</v>
      </c>
      <c r="B5" s="18">
        <v>51000</v>
      </c>
      <c r="C5" s="7">
        <v>33</v>
      </c>
      <c r="D5" s="7">
        <v>9</v>
      </c>
      <c r="E5" s="7">
        <v>19</v>
      </c>
      <c r="F5" s="7">
        <v>0</v>
      </c>
      <c r="G5" s="7">
        <v>23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19">
        <v>0</v>
      </c>
      <c r="T5" s="20">
        <v>1262000</v>
      </c>
      <c r="U5" s="18">
        <v>221200</v>
      </c>
      <c r="V5" s="18">
        <v>14000</v>
      </c>
      <c r="W5" s="18">
        <v>0</v>
      </c>
      <c r="X5" s="16">
        <v>836800</v>
      </c>
    </row>
    <row r="6" spans="1:24" x14ac:dyDescent="0.25">
      <c r="A6" s="17">
        <v>46118</v>
      </c>
      <c r="B6" s="18">
        <v>28000</v>
      </c>
      <c r="C6" s="7">
        <v>12</v>
      </c>
      <c r="D6" s="7">
        <v>18</v>
      </c>
      <c r="E6" s="7">
        <v>0</v>
      </c>
      <c r="F6" s="7">
        <v>0</v>
      </c>
      <c r="G6" s="7">
        <v>11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19">
        <v>0</v>
      </c>
      <c r="T6" s="20">
        <v>606000</v>
      </c>
      <c r="U6" s="18">
        <v>155000</v>
      </c>
      <c r="V6" s="18">
        <v>14000</v>
      </c>
      <c r="W6" s="18">
        <v>0</v>
      </c>
      <c r="X6" s="16">
        <v>122600</v>
      </c>
    </row>
    <row r="7" spans="1:24" x14ac:dyDescent="0.25">
      <c r="A7" s="17">
        <v>46119</v>
      </c>
      <c r="B7" s="18">
        <v>42000</v>
      </c>
      <c r="C7" s="7">
        <v>32</v>
      </c>
      <c r="D7" s="7">
        <v>17</v>
      </c>
      <c r="E7" s="7">
        <v>9</v>
      </c>
      <c r="F7" s="7">
        <v>0</v>
      </c>
      <c r="G7" s="7">
        <v>11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19">
        <v>0</v>
      </c>
      <c r="T7" s="20">
        <v>1025000</v>
      </c>
      <c r="U7" s="18">
        <v>190000</v>
      </c>
      <c r="V7" s="18">
        <v>28000</v>
      </c>
      <c r="W7" s="18">
        <v>0</v>
      </c>
      <c r="X7" s="16">
        <v>551050</v>
      </c>
    </row>
    <row r="8" spans="1:24" x14ac:dyDescent="0.25">
      <c r="A8" s="17">
        <v>46120</v>
      </c>
      <c r="B8" s="18">
        <v>115000</v>
      </c>
      <c r="C8" s="7">
        <v>12</v>
      </c>
      <c r="D8" s="7">
        <v>0</v>
      </c>
      <c r="E8" s="7">
        <v>8</v>
      </c>
      <c r="F8" s="7">
        <v>11</v>
      </c>
      <c r="G8" s="7">
        <v>16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19">
        <v>0</v>
      </c>
      <c r="T8" s="20">
        <v>773000</v>
      </c>
      <c r="U8" s="18">
        <v>162000</v>
      </c>
      <c r="V8" s="18">
        <v>28000</v>
      </c>
      <c r="W8" s="18">
        <v>122000</v>
      </c>
      <c r="X8" s="16">
        <v>236100</v>
      </c>
    </row>
    <row r="9" spans="1:24" x14ac:dyDescent="0.25">
      <c r="A9" s="17">
        <v>46121</v>
      </c>
      <c r="B9" s="18">
        <v>9000</v>
      </c>
      <c r="C9" s="7">
        <v>9</v>
      </c>
      <c r="D9" s="7">
        <v>0</v>
      </c>
      <c r="E9" s="7">
        <v>6</v>
      </c>
      <c r="F9" s="7">
        <v>0</v>
      </c>
      <c r="G9" s="7">
        <v>12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18</v>
      </c>
      <c r="N9" s="7">
        <v>0</v>
      </c>
      <c r="O9" s="7">
        <v>0</v>
      </c>
      <c r="P9" s="7">
        <v>1</v>
      </c>
      <c r="Q9" s="7">
        <v>0</v>
      </c>
      <c r="R9" s="7">
        <v>0</v>
      </c>
      <c r="S9" s="19">
        <v>0</v>
      </c>
      <c r="T9" s="20">
        <v>677000</v>
      </c>
      <c r="U9" s="18">
        <v>92000</v>
      </c>
      <c r="V9" s="18">
        <v>47000</v>
      </c>
      <c r="W9" s="18">
        <v>0</v>
      </c>
      <c r="X9" s="16">
        <v>430700</v>
      </c>
    </row>
    <row r="10" spans="1:24" x14ac:dyDescent="0.25">
      <c r="A10" s="17">
        <v>46122</v>
      </c>
      <c r="B10" s="18">
        <v>26000</v>
      </c>
      <c r="C10" s="7">
        <v>12</v>
      </c>
      <c r="D10" s="7">
        <v>10</v>
      </c>
      <c r="E10" s="7">
        <v>0</v>
      </c>
      <c r="F10" s="7">
        <v>0</v>
      </c>
      <c r="G10" s="7">
        <v>15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19">
        <v>0</v>
      </c>
      <c r="T10" s="20">
        <v>540000</v>
      </c>
      <c r="U10" s="18">
        <v>159000</v>
      </c>
      <c r="V10" s="18">
        <v>70000</v>
      </c>
      <c r="W10" s="18">
        <v>0</v>
      </c>
      <c r="X10" s="16">
        <v>202000</v>
      </c>
    </row>
    <row r="11" spans="1:24" x14ac:dyDescent="0.25">
      <c r="A11" s="17">
        <v>46123</v>
      </c>
      <c r="B11" s="18">
        <v>76000</v>
      </c>
      <c r="C11" s="7">
        <v>12</v>
      </c>
      <c r="D11" s="7">
        <v>6</v>
      </c>
      <c r="E11" s="7">
        <v>20</v>
      </c>
      <c r="F11" s="7">
        <v>0</v>
      </c>
      <c r="G11" s="7">
        <v>16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19">
        <v>0</v>
      </c>
      <c r="T11" s="20">
        <v>844500</v>
      </c>
      <c r="U11" s="18">
        <v>454000</v>
      </c>
      <c r="V11" s="18">
        <v>0</v>
      </c>
      <c r="W11" s="18">
        <v>140000</v>
      </c>
      <c r="X11" s="16">
        <v>259700</v>
      </c>
    </row>
    <row r="12" spans="1:24" x14ac:dyDescent="0.25">
      <c r="A12" s="17">
        <v>46125</v>
      </c>
      <c r="B12" s="18">
        <v>42000</v>
      </c>
      <c r="C12" s="7">
        <v>7</v>
      </c>
      <c r="D12" s="7">
        <v>0</v>
      </c>
      <c r="E12" s="7">
        <v>7</v>
      </c>
      <c r="F12" s="7">
        <v>0</v>
      </c>
      <c r="G12" s="7">
        <v>7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19">
        <v>0</v>
      </c>
      <c r="T12" s="20">
        <v>366000</v>
      </c>
      <c r="U12" s="18">
        <v>62000</v>
      </c>
      <c r="V12" s="18">
        <v>0</v>
      </c>
      <c r="W12" s="18">
        <v>0</v>
      </c>
      <c r="X12" s="16">
        <v>743700</v>
      </c>
    </row>
    <row r="13" spans="1:24" x14ac:dyDescent="0.25">
      <c r="A13" s="17">
        <v>46126</v>
      </c>
      <c r="B13" s="18">
        <v>41000</v>
      </c>
      <c r="C13" s="7">
        <v>10</v>
      </c>
      <c r="D13" s="7">
        <v>0</v>
      </c>
      <c r="E13" s="7">
        <v>6</v>
      </c>
      <c r="F13" s="7">
        <v>0</v>
      </c>
      <c r="G13" s="7">
        <v>12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7</v>
      </c>
      <c r="O13" s="7">
        <v>0</v>
      </c>
      <c r="P13" s="7">
        <v>1</v>
      </c>
      <c r="Q13" s="7">
        <v>0</v>
      </c>
      <c r="R13" s="7">
        <v>0</v>
      </c>
      <c r="S13" s="19">
        <v>0</v>
      </c>
      <c r="T13" s="20">
        <v>636000</v>
      </c>
      <c r="U13" s="18">
        <v>136000</v>
      </c>
      <c r="V13" s="18">
        <v>0</v>
      </c>
      <c r="W13" s="18">
        <v>309000</v>
      </c>
      <c r="X13" s="16">
        <v>84700</v>
      </c>
    </row>
    <row r="14" spans="1:24" x14ac:dyDescent="0.25">
      <c r="A14" s="17">
        <v>46127</v>
      </c>
      <c r="B14" s="18">
        <v>91000</v>
      </c>
      <c r="C14" s="7">
        <v>9</v>
      </c>
      <c r="D14" s="7">
        <v>3</v>
      </c>
      <c r="E14" s="7">
        <v>1</v>
      </c>
      <c r="F14" s="7">
        <v>0</v>
      </c>
      <c r="G14" s="7">
        <v>15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19">
        <v>0</v>
      </c>
      <c r="T14" s="20">
        <v>493000</v>
      </c>
      <c r="U14" s="18">
        <v>269000</v>
      </c>
      <c r="V14" s="18">
        <v>29000</v>
      </c>
      <c r="W14" s="18">
        <v>0</v>
      </c>
      <c r="X14" s="16">
        <v>359500</v>
      </c>
    </row>
    <row r="15" spans="1:24" x14ac:dyDescent="0.25">
      <c r="A15" s="17">
        <v>46128</v>
      </c>
      <c r="B15" s="18">
        <v>55000</v>
      </c>
      <c r="C15" s="7">
        <v>8</v>
      </c>
      <c r="D15" s="7">
        <v>4</v>
      </c>
      <c r="E15" s="7">
        <v>3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27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19">
        <v>0</v>
      </c>
      <c r="T15" s="20">
        <v>664500</v>
      </c>
      <c r="U15" s="18">
        <v>157000</v>
      </c>
      <c r="V15" s="18">
        <v>45500</v>
      </c>
      <c r="W15" s="18">
        <v>0</v>
      </c>
      <c r="X15" s="16">
        <v>155600</v>
      </c>
    </row>
    <row r="16" spans="1:24" x14ac:dyDescent="0.25">
      <c r="A16" s="17">
        <v>46129</v>
      </c>
      <c r="B16" s="18">
        <v>69000</v>
      </c>
      <c r="C16" s="7">
        <v>18</v>
      </c>
      <c r="D16" s="7">
        <v>4</v>
      </c>
      <c r="E16" s="7">
        <v>7</v>
      </c>
      <c r="F16" s="7">
        <v>0</v>
      </c>
      <c r="G16" s="7">
        <v>16</v>
      </c>
      <c r="H16" s="7">
        <v>0</v>
      </c>
      <c r="I16" s="7">
        <v>0</v>
      </c>
      <c r="J16" s="7">
        <v>0</v>
      </c>
      <c r="K16" s="7">
        <v>6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9">
        <v>0</v>
      </c>
      <c r="T16" s="20">
        <v>880000</v>
      </c>
      <c r="U16" s="18">
        <v>70000</v>
      </c>
      <c r="V16" s="18">
        <v>12000</v>
      </c>
      <c r="W16" s="18">
        <v>0</v>
      </c>
      <c r="X16" s="16">
        <v>56600</v>
      </c>
    </row>
    <row r="17" spans="1:24" x14ac:dyDescent="0.25">
      <c r="A17" s="17">
        <v>46130</v>
      </c>
      <c r="B17" s="18">
        <v>93000</v>
      </c>
      <c r="C17" s="7">
        <v>19</v>
      </c>
      <c r="D17" s="7">
        <v>16</v>
      </c>
      <c r="E17" s="7">
        <v>16</v>
      </c>
      <c r="F17" s="7">
        <v>0</v>
      </c>
      <c r="G17" s="7">
        <v>19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9">
        <v>0</v>
      </c>
      <c r="T17" s="20">
        <v>1082000</v>
      </c>
      <c r="U17" s="18">
        <v>127000</v>
      </c>
      <c r="V17" s="18">
        <v>51000</v>
      </c>
      <c r="W17" s="18">
        <v>0</v>
      </c>
      <c r="X17" s="16">
        <v>463300</v>
      </c>
    </row>
    <row r="18" spans="1:24" x14ac:dyDescent="0.25">
      <c r="A18" s="17">
        <v>46132</v>
      </c>
      <c r="B18" s="18">
        <v>62000</v>
      </c>
      <c r="C18" s="7">
        <v>13</v>
      </c>
      <c r="D18" s="7">
        <v>5</v>
      </c>
      <c r="E18" s="7">
        <v>9</v>
      </c>
      <c r="F18" s="7">
        <v>0</v>
      </c>
      <c r="G18" s="7">
        <v>19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9</v>
      </c>
      <c r="O18" s="7">
        <v>0</v>
      </c>
      <c r="P18" s="7">
        <v>0</v>
      </c>
      <c r="Q18" s="7">
        <v>0</v>
      </c>
      <c r="R18" s="7">
        <v>0</v>
      </c>
      <c r="S18" s="19">
        <v>0</v>
      </c>
      <c r="T18" s="20">
        <v>1027000</v>
      </c>
      <c r="U18" s="18">
        <v>227000</v>
      </c>
      <c r="V18" s="18">
        <v>42000</v>
      </c>
      <c r="W18" s="18">
        <v>0</v>
      </c>
      <c r="X18" s="39">
        <v>128950</v>
      </c>
    </row>
    <row r="19" spans="1:24" x14ac:dyDescent="0.25">
      <c r="A19" s="17">
        <v>46133</v>
      </c>
      <c r="B19" s="18">
        <v>163000</v>
      </c>
      <c r="C19" s="7">
        <v>15</v>
      </c>
      <c r="D19" s="7">
        <v>17</v>
      </c>
      <c r="E19" s="7">
        <v>3</v>
      </c>
      <c r="F19" s="7">
        <v>0</v>
      </c>
      <c r="G19" s="7">
        <v>5</v>
      </c>
      <c r="H19" s="7">
        <v>18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19">
        <v>0</v>
      </c>
      <c r="T19" s="20">
        <v>998000</v>
      </c>
      <c r="U19" s="18">
        <v>250000</v>
      </c>
      <c r="V19" s="18">
        <v>28000</v>
      </c>
      <c r="W19" s="18">
        <v>183500</v>
      </c>
      <c r="X19" s="16">
        <v>289200</v>
      </c>
    </row>
    <row r="20" spans="1:24" x14ac:dyDescent="0.25">
      <c r="A20" s="17">
        <v>46134</v>
      </c>
      <c r="B20" s="18">
        <v>18000</v>
      </c>
      <c r="C20" s="7">
        <v>12</v>
      </c>
      <c r="D20" s="7">
        <v>14</v>
      </c>
      <c r="E20" s="7">
        <v>5</v>
      </c>
      <c r="F20" s="7">
        <v>0</v>
      </c>
      <c r="G20" s="7">
        <v>16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19">
        <v>0</v>
      </c>
      <c r="T20" s="20">
        <v>682000</v>
      </c>
      <c r="U20" s="18">
        <v>56000</v>
      </c>
      <c r="V20" s="18">
        <v>87000</v>
      </c>
      <c r="W20" s="18">
        <v>0</v>
      </c>
      <c r="X20" s="16">
        <v>412000</v>
      </c>
    </row>
    <row r="21" spans="1:24" x14ac:dyDescent="0.25">
      <c r="A21" s="17">
        <v>46135</v>
      </c>
      <c r="B21" s="18">
        <v>0</v>
      </c>
      <c r="C21" s="7">
        <v>11</v>
      </c>
      <c r="D21" s="7">
        <v>2</v>
      </c>
      <c r="E21" s="7">
        <v>0</v>
      </c>
      <c r="F21" s="7">
        <v>0</v>
      </c>
      <c r="G21" s="7">
        <v>14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22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19">
        <v>0</v>
      </c>
      <c r="T21" s="20">
        <v>695000</v>
      </c>
      <c r="U21" s="18">
        <v>330500</v>
      </c>
      <c r="V21" s="18">
        <v>14000</v>
      </c>
      <c r="W21" s="18">
        <v>0</v>
      </c>
      <c r="X21" s="16">
        <v>207750</v>
      </c>
    </row>
    <row r="22" spans="1:24" x14ac:dyDescent="0.25">
      <c r="A22" s="17">
        <v>46136</v>
      </c>
      <c r="B22" s="18">
        <v>42000</v>
      </c>
      <c r="C22" s="7">
        <v>7</v>
      </c>
      <c r="D22" s="7">
        <v>0</v>
      </c>
      <c r="E22" s="7">
        <v>10</v>
      </c>
      <c r="F22" s="7">
        <v>0</v>
      </c>
      <c r="G22" s="7">
        <v>5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19">
        <v>0</v>
      </c>
      <c r="T22" s="20">
        <v>407000</v>
      </c>
      <c r="U22" s="18">
        <v>72000</v>
      </c>
      <c r="V22" s="18">
        <v>0</v>
      </c>
      <c r="W22" s="18">
        <v>0</v>
      </c>
      <c r="X22" s="16">
        <v>241950</v>
      </c>
    </row>
    <row r="23" spans="1:24" x14ac:dyDescent="0.25">
      <c r="A23" s="17">
        <v>46137</v>
      </c>
      <c r="B23" s="18">
        <v>68000</v>
      </c>
      <c r="C23" s="7">
        <v>18</v>
      </c>
      <c r="D23" s="7">
        <v>7</v>
      </c>
      <c r="E23" s="7">
        <v>13</v>
      </c>
      <c r="F23" s="7">
        <v>0</v>
      </c>
      <c r="G23" s="7">
        <v>14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</v>
      </c>
      <c r="Q23" s="7">
        <v>0</v>
      </c>
      <c r="R23" s="7">
        <v>0</v>
      </c>
      <c r="S23" s="19">
        <v>0</v>
      </c>
      <c r="T23" s="20">
        <v>906500</v>
      </c>
      <c r="U23" s="18">
        <v>494000</v>
      </c>
      <c r="V23" s="18">
        <v>0</v>
      </c>
      <c r="W23" s="18">
        <v>0</v>
      </c>
      <c r="X23" s="16">
        <v>199400</v>
      </c>
    </row>
    <row r="24" spans="1:24" s="32" customFormat="1" x14ac:dyDescent="0.25">
      <c r="A24" s="29">
        <v>46139</v>
      </c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0">
        <v>0</v>
      </c>
      <c r="U24" s="30"/>
      <c r="V24" s="30"/>
      <c r="W24" s="30"/>
      <c r="X24" s="30">
        <v>598000</v>
      </c>
    </row>
    <row r="25" spans="1:24" x14ac:dyDescent="0.25">
      <c r="A25" s="17">
        <v>46140</v>
      </c>
      <c r="B25" s="18">
        <v>9000</v>
      </c>
      <c r="C25" s="7">
        <v>16</v>
      </c>
      <c r="D25" s="7">
        <v>5</v>
      </c>
      <c r="E25" s="7">
        <v>1</v>
      </c>
      <c r="F25" s="7">
        <v>0</v>
      </c>
      <c r="G25" s="7">
        <v>12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4</v>
      </c>
      <c r="O25" s="7">
        <v>0</v>
      </c>
      <c r="P25" s="7">
        <v>0</v>
      </c>
      <c r="Q25" s="7">
        <v>0</v>
      </c>
      <c r="R25" s="7">
        <v>0</v>
      </c>
      <c r="S25" s="19">
        <v>0</v>
      </c>
      <c r="T25" s="20">
        <v>564000</v>
      </c>
      <c r="U25" s="18">
        <v>178000</v>
      </c>
      <c r="V25" s="18">
        <v>38200</v>
      </c>
      <c r="W25" s="18">
        <v>0</v>
      </c>
      <c r="X25" s="16">
        <v>122750</v>
      </c>
    </row>
    <row r="26" spans="1:24" x14ac:dyDescent="0.25">
      <c r="A26" s="17">
        <v>46141</v>
      </c>
      <c r="B26" s="18">
        <v>37000</v>
      </c>
      <c r="C26" s="7">
        <v>5</v>
      </c>
      <c r="D26" s="7">
        <v>3</v>
      </c>
      <c r="E26" s="7">
        <v>9</v>
      </c>
      <c r="F26" s="7">
        <v>0</v>
      </c>
      <c r="G26" s="7">
        <v>13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19">
        <v>0</v>
      </c>
      <c r="T26" s="20">
        <v>471000</v>
      </c>
      <c r="U26" s="18">
        <v>150000</v>
      </c>
      <c r="V26" s="18">
        <v>28000</v>
      </c>
      <c r="W26" s="18">
        <v>0</v>
      </c>
      <c r="X26" s="16">
        <v>257150</v>
      </c>
    </row>
    <row r="27" spans="1:24" ht="15.75" thickBot="1" x14ac:dyDescent="0.3">
      <c r="A27" s="33">
        <v>46142</v>
      </c>
      <c r="B27" s="36">
        <v>13000</v>
      </c>
      <c r="C27" s="34">
        <v>7</v>
      </c>
      <c r="D27" s="34">
        <v>3</v>
      </c>
      <c r="E27" s="34">
        <v>3</v>
      </c>
      <c r="F27" s="34">
        <v>0</v>
      </c>
      <c r="G27" s="34">
        <v>6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18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7">
        <v>0</v>
      </c>
      <c r="T27" s="38">
        <v>541000</v>
      </c>
      <c r="U27" s="36">
        <v>181000</v>
      </c>
      <c r="V27" s="36">
        <v>29000</v>
      </c>
      <c r="W27" s="36">
        <v>76000</v>
      </c>
      <c r="X27" s="35">
        <v>127050</v>
      </c>
    </row>
    <row r="28" spans="1:24" ht="15.75" thickTop="1" x14ac:dyDescent="0.25">
      <c r="T28" s="40">
        <f>SUM(T4:T27)</f>
        <v>16575500</v>
      </c>
      <c r="X28" s="40">
        <f>SUM(X4:X27)</f>
        <v>7302950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3B49-EAFD-444E-B491-17B855FE481A}">
  <sheetPr codeName="Hoja3"/>
  <dimension ref="A1:AK28"/>
  <sheetViews>
    <sheetView tabSelected="1" topLeftCell="R2" zoomScale="59" zoomScaleNormal="59" workbookViewId="0">
      <selection sqref="A1:AK28"/>
    </sheetView>
  </sheetViews>
  <sheetFormatPr baseColWidth="10" defaultRowHeight="15" x14ac:dyDescent="0.25"/>
  <cols>
    <col min="2" max="2" width="16.7109375" style="2" customWidth="1"/>
    <col min="3" max="3" width="6.85546875" bestFit="1" customWidth="1"/>
    <col min="15" max="15" width="20.7109375" style="2" customWidth="1"/>
    <col min="16" max="16" width="18.42578125" style="2" customWidth="1"/>
    <col min="17" max="17" width="15.5703125" style="2" customWidth="1"/>
    <col min="18" max="18" width="18.140625" style="2" customWidth="1"/>
    <col min="19" max="19" width="23" style="3" customWidth="1"/>
    <col min="21" max="21" width="11.42578125" style="1"/>
    <col min="25" max="25" width="14.140625" customWidth="1"/>
    <col min="26" max="26" width="16.140625" customWidth="1"/>
    <col min="27" max="27" width="18" customWidth="1"/>
    <col min="28" max="30" width="16.5703125" customWidth="1"/>
    <col min="31" max="31" width="13.140625" customWidth="1"/>
    <col min="32" max="32" width="23.28515625" customWidth="1"/>
    <col min="33" max="33" width="22.140625" customWidth="1"/>
    <col min="35" max="35" width="16.28515625" customWidth="1"/>
    <col min="36" max="36" width="14.5703125" customWidth="1"/>
    <col min="37" max="37" width="14.28515625" customWidth="1"/>
  </cols>
  <sheetData>
    <row r="1" spans="1:37" x14ac:dyDescent="0.25">
      <c r="U1" s="8"/>
      <c r="V1" s="48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x14ac:dyDescent="0.25">
      <c r="A2" s="14"/>
      <c r="B2" s="9" t="s">
        <v>23</v>
      </c>
      <c r="C2" s="8" t="s">
        <v>1</v>
      </c>
      <c r="D2" s="8" t="s">
        <v>2</v>
      </c>
      <c r="E2" s="8" t="s">
        <v>3</v>
      </c>
      <c r="F2" s="8" t="s">
        <v>27</v>
      </c>
      <c r="G2" s="8" t="s">
        <v>4</v>
      </c>
      <c r="H2" s="8" t="s">
        <v>32</v>
      </c>
      <c r="I2" s="8" t="s">
        <v>5</v>
      </c>
      <c r="J2" s="8" t="s">
        <v>8</v>
      </c>
      <c r="K2" s="8" t="s">
        <v>44</v>
      </c>
      <c r="L2" s="8" t="s">
        <v>43</v>
      </c>
      <c r="M2" s="8" t="s">
        <v>21</v>
      </c>
      <c r="N2" s="11" t="s">
        <v>14</v>
      </c>
      <c r="O2" s="12" t="s">
        <v>30</v>
      </c>
      <c r="P2" s="9" t="s">
        <v>11</v>
      </c>
      <c r="Q2" s="9" t="s">
        <v>12</v>
      </c>
      <c r="R2" s="9" t="s">
        <v>19</v>
      </c>
      <c r="S2" s="13" t="s">
        <v>15</v>
      </c>
      <c r="U2" s="14" t="s">
        <v>31</v>
      </c>
      <c r="V2" s="8" t="s">
        <v>33</v>
      </c>
      <c r="W2" s="8" t="s">
        <v>38</v>
      </c>
      <c r="X2" s="8" t="s">
        <v>34</v>
      </c>
      <c r="Y2" s="8" t="s">
        <v>39</v>
      </c>
      <c r="Z2" s="8" t="s">
        <v>40</v>
      </c>
      <c r="AA2" s="8" t="s">
        <v>35</v>
      </c>
      <c r="AB2" s="8" t="s">
        <v>36</v>
      </c>
      <c r="AC2" s="8" t="s">
        <v>41</v>
      </c>
      <c r="AD2" s="8" t="s">
        <v>46</v>
      </c>
      <c r="AE2" s="8" t="s">
        <v>45</v>
      </c>
      <c r="AF2" s="8" t="s">
        <v>37</v>
      </c>
      <c r="AG2" s="8" t="s">
        <v>42</v>
      </c>
      <c r="AH2" s="8" t="s">
        <v>47</v>
      </c>
      <c r="AI2" s="8" t="s">
        <v>48</v>
      </c>
      <c r="AJ2" s="8" t="s">
        <v>56</v>
      </c>
      <c r="AK2" s="8" t="s">
        <v>57</v>
      </c>
    </row>
    <row r="3" spans="1:37" x14ac:dyDescent="0.25">
      <c r="A3" s="14" t="s">
        <v>31</v>
      </c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1"/>
      <c r="O3" s="12"/>
      <c r="P3" s="9"/>
      <c r="Q3" s="9"/>
      <c r="R3" s="9"/>
      <c r="S3" s="13"/>
      <c r="U3" s="46">
        <v>46144</v>
      </c>
      <c r="V3" s="7" t="s">
        <v>1</v>
      </c>
      <c r="W3" s="7"/>
      <c r="X3" s="7" t="s">
        <v>1</v>
      </c>
      <c r="Y3" s="7" t="s">
        <v>3</v>
      </c>
      <c r="Z3" s="7" t="s">
        <v>1</v>
      </c>
      <c r="AA3" s="7"/>
      <c r="AB3" s="7"/>
      <c r="AC3" s="7"/>
      <c r="AD3" s="7"/>
      <c r="AE3" s="7"/>
      <c r="AF3" s="7"/>
      <c r="AG3" s="7" t="s">
        <v>1</v>
      </c>
      <c r="AH3" s="7"/>
      <c r="AI3" s="7"/>
      <c r="AJ3" s="7"/>
      <c r="AK3" s="7"/>
    </row>
    <row r="4" spans="1:37" x14ac:dyDescent="0.25">
      <c r="A4" s="17">
        <v>46144</v>
      </c>
      <c r="B4" s="18">
        <v>56000</v>
      </c>
      <c r="C4" s="7">
        <v>20</v>
      </c>
      <c r="D4" s="7">
        <v>11</v>
      </c>
      <c r="E4" s="7">
        <v>9</v>
      </c>
      <c r="F4" s="7">
        <v>12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19">
        <v>0</v>
      </c>
      <c r="O4" s="20">
        <v>704000</v>
      </c>
      <c r="P4" s="18">
        <v>224000</v>
      </c>
      <c r="Q4" s="18">
        <v>34000</v>
      </c>
      <c r="R4" s="18">
        <v>62000</v>
      </c>
      <c r="S4" s="16">
        <v>161700</v>
      </c>
      <c r="U4" s="46">
        <v>46146</v>
      </c>
      <c r="V4" s="7" t="s">
        <v>5</v>
      </c>
      <c r="W4" s="7" t="s">
        <v>1</v>
      </c>
      <c r="X4" s="7" t="s">
        <v>1</v>
      </c>
      <c r="Y4" s="7" t="s">
        <v>1</v>
      </c>
      <c r="Z4" s="7"/>
      <c r="AA4" s="7" t="s">
        <v>5</v>
      </c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x14ac:dyDescent="0.25">
      <c r="A5" s="17">
        <v>46146</v>
      </c>
      <c r="B5" s="18">
        <v>14000</v>
      </c>
      <c r="C5" s="7">
        <v>13</v>
      </c>
      <c r="D5" s="7">
        <v>1</v>
      </c>
      <c r="E5" s="7">
        <v>6</v>
      </c>
      <c r="F5" s="7">
        <v>19</v>
      </c>
      <c r="G5" s="7">
        <v>0</v>
      </c>
      <c r="H5" s="7">
        <v>0</v>
      </c>
      <c r="I5" s="7">
        <v>12</v>
      </c>
      <c r="J5" s="7">
        <v>0</v>
      </c>
      <c r="K5" s="7"/>
      <c r="L5" s="7">
        <v>0</v>
      </c>
      <c r="M5" s="7">
        <v>0</v>
      </c>
      <c r="N5" s="19">
        <v>0</v>
      </c>
      <c r="O5" s="20">
        <v>652500</v>
      </c>
      <c r="P5" s="18">
        <v>98000</v>
      </c>
      <c r="Q5" s="18">
        <v>29000</v>
      </c>
      <c r="R5" s="18">
        <v>0</v>
      </c>
      <c r="S5" s="16">
        <v>183500</v>
      </c>
      <c r="U5" s="46">
        <v>46147</v>
      </c>
      <c r="V5" s="7" t="s">
        <v>1</v>
      </c>
      <c r="W5" s="7"/>
      <c r="X5" s="7" t="s">
        <v>1</v>
      </c>
      <c r="Y5" s="7" t="s">
        <v>1</v>
      </c>
      <c r="Z5" s="7" t="s">
        <v>1</v>
      </c>
      <c r="AA5" s="7"/>
      <c r="AB5" s="7"/>
      <c r="AC5" s="7"/>
      <c r="AD5" s="7" t="s">
        <v>3</v>
      </c>
      <c r="AE5" s="7" t="s">
        <v>1</v>
      </c>
      <c r="AF5" s="7" t="s">
        <v>2</v>
      </c>
      <c r="AG5" s="7"/>
      <c r="AH5" s="7" t="s">
        <v>3</v>
      </c>
      <c r="AI5" s="7" t="s">
        <v>2</v>
      </c>
      <c r="AJ5" s="7"/>
      <c r="AK5" s="7"/>
    </row>
    <row r="6" spans="1:37" x14ac:dyDescent="0.25">
      <c r="A6" s="17">
        <v>46147</v>
      </c>
      <c r="B6" s="18">
        <v>27000</v>
      </c>
      <c r="C6" s="7">
        <v>20</v>
      </c>
      <c r="D6" s="7">
        <v>8</v>
      </c>
      <c r="E6" s="7">
        <v>5</v>
      </c>
      <c r="F6" s="7">
        <v>15</v>
      </c>
      <c r="G6" s="7">
        <v>0</v>
      </c>
      <c r="H6" s="7">
        <v>0</v>
      </c>
      <c r="I6" s="7"/>
      <c r="J6" s="7">
        <v>0</v>
      </c>
      <c r="K6" s="7"/>
      <c r="L6" s="7">
        <v>3</v>
      </c>
      <c r="M6" s="7">
        <v>0</v>
      </c>
      <c r="N6" s="19">
        <v>0</v>
      </c>
      <c r="O6" s="20">
        <v>677000</v>
      </c>
      <c r="P6" s="18">
        <v>171000</v>
      </c>
      <c r="Q6" s="18">
        <v>0</v>
      </c>
      <c r="R6" s="18">
        <v>0</v>
      </c>
      <c r="S6" s="16">
        <v>93050</v>
      </c>
      <c r="U6" s="46">
        <v>46148</v>
      </c>
      <c r="V6" s="7" t="s">
        <v>49</v>
      </c>
      <c r="W6" s="7"/>
      <c r="X6" s="7" t="s">
        <v>3</v>
      </c>
      <c r="Y6" s="7" t="s">
        <v>1</v>
      </c>
      <c r="Z6" s="7" t="s">
        <v>2</v>
      </c>
      <c r="AA6" s="7"/>
      <c r="AB6" s="7"/>
      <c r="AC6" s="7"/>
      <c r="AD6" s="7" t="s">
        <v>1</v>
      </c>
      <c r="AE6" s="7" t="s">
        <v>50</v>
      </c>
      <c r="AF6" s="7" t="s">
        <v>1</v>
      </c>
      <c r="AG6" s="7"/>
      <c r="AH6" s="7"/>
      <c r="AI6" s="7"/>
      <c r="AJ6" s="7"/>
      <c r="AK6" s="7"/>
    </row>
    <row r="7" spans="1:37" x14ac:dyDescent="0.25">
      <c r="A7" s="17">
        <v>46148</v>
      </c>
      <c r="B7" s="18">
        <v>14000</v>
      </c>
      <c r="C7" s="7">
        <v>20</v>
      </c>
      <c r="D7" s="7">
        <v>3</v>
      </c>
      <c r="E7" s="7">
        <v>11</v>
      </c>
      <c r="F7" s="7">
        <v>12</v>
      </c>
      <c r="G7" s="7">
        <v>0</v>
      </c>
      <c r="H7" s="7">
        <v>0</v>
      </c>
      <c r="I7" s="7"/>
      <c r="J7" s="7">
        <v>0</v>
      </c>
      <c r="K7" s="7"/>
      <c r="L7" s="7">
        <v>0</v>
      </c>
      <c r="M7" s="7">
        <v>0</v>
      </c>
      <c r="N7" s="19">
        <v>0</v>
      </c>
      <c r="O7" s="20">
        <v>531000</v>
      </c>
      <c r="P7" s="18">
        <v>232500</v>
      </c>
      <c r="Q7" s="18">
        <v>0</v>
      </c>
      <c r="R7" s="18">
        <v>0</v>
      </c>
      <c r="S7" s="16">
        <v>66700</v>
      </c>
      <c r="U7" s="46">
        <v>46149</v>
      </c>
      <c r="V7" s="7" t="s">
        <v>1</v>
      </c>
      <c r="W7" s="7"/>
      <c r="X7" s="7" t="s">
        <v>1</v>
      </c>
      <c r="Y7" s="7" t="s">
        <v>1</v>
      </c>
      <c r="Z7" s="7" t="s">
        <v>1</v>
      </c>
      <c r="AA7" s="7"/>
      <c r="AB7" s="7" t="s">
        <v>51</v>
      </c>
      <c r="AC7" s="7" t="s">
        <v>51</v>
      </c>
      <c r="AD7" s="7"/>
      <c r="AE7" s="7"/>
      <c r="AF7" s="7"/>
      <c r="AG7" s="7"/>
      <c r="AH7" s="7"/>
      <c r="AI7" s="7"/>
      <c r="AJ7" s="7"/>
      <c r="AK7" s="7"/>
    </row>
    <row r="8" spans="1:37" x14ac:dyDescent="0.25">
      <c r="A8" s="17">
        <v>46149</v>
      </c>
      <c r="B8" s="18">
        <v>14000</v>
      </c>
      <c r="C8" s="7">
        <v>11</v>
      </c>
      <c r="D8" s="7">
        <v>1</v>
      </c>
      <c r="E8" s="7">
        <v>1</v>
      </c>
      <c r="F8" s="7">
        <v>8</v>
      </c>
      <c r="G8" s="7">
        <v>0</v>
      </c>
      <c r="H8" s="7">
        <v>0</v>
      </c>
      <c r="I8" s="7"/>
      <c r="J8" s="7">
        <v>26</v>
      </c>
      <c r="K8" s="7"/>
      <c r="L8" s="7">
        <v>0</v>
      </c>
      <c r="M8" s="7">
        <v>0</v>
      </c>
      <c r="N8" s="7">
        <v>0</v>
      </c>
      <c r="O8" s="18">
        <v>564000</v>
      </c>
      <c r="P8" s="18">
        <v>297000</v>
      </c>
      <c r="Q8" s="18">
        <v>0</v>
      </c>
      <c r="R8" s="18">
        <v>56000</v>
      </c>
      <c r="S8" s="16">
        <v>282740</v>
      </c>
      <c r="U8" s="46">
        <v>46150</v>
      </c>
      <c r="V8" s="7" t="s">
        <v>1</v>
      </c>
      <c r="W8" s="7"/>
      <c r="X8" s="7" t="s">
        <v>1</v>
      </c>
      <c r="Y8" s="7" t="s">
        <v>1</v>
      </c>
      <c r="Z8" s="7" t="s">
        <v>52</v>
      </c>
      <c r="AA8" s="7" t="s">
        <v>52</v>
      </c>
      <c r="AB8" s="7" t="s">
        <v>53</v>
      </c>
      <c r="AC8" s="7" t="s">
        <v>52</v>
      </c>
      <c r="AD8" s="7"/>
      <c r="AE8" s="7"/>
      <c r="AF8" s="7" t="s">
        <v>7</v>
      </c>
      <c r="AG8" s="7"/>
      <c r="AH8" s="7"/>
      <c r="AI8" s="7" t="s">
        <v>49</v>
      </c>
      <c r="AJ8" s="7"/>
      <c r="AK8" s="7"/>
    </row>
    <row r="9" spans="1:37" x14ac:dyDescent="0.25">
      <c r="A9" s="17">
        <v>46150</v>
      </c>
      <c r="B9" s="18">
        <v>0</v>
      </c>
      <c r="C9" s="7">
        <v>115</v>
      </c>
      <c r="D9" s="7">
        <v>0</v>
      </c>
      <c r="E9" s="7">
        <v>11</v>
      </c>
      <c r="F9" s="7">
        <v>21</v>
      </c>
      <c r="G9" s="7">
        <v>0</v>
      </c>
      <c r="H9" s="7">
        <v>12</v>
      </c>
      <c r="I9" s="7"/>
      <c r="J9" s="7">
        <v>0</v>
      </c>
      <c r="K9" s="7"/>
      <c r="L9" s="7">
        <v>0</v>
      </c>
      <c r="M9" s="7">
        <v>0</v>
      </c>
      <c r="N9" s="7">
        <v>0</v>
      </c>
      <c r="O9" s="18">
        <v>691000</v>
      </c>
      <c r="P9" s="18">
        <v>253000</v>
      </c>
      <c r="Q9" s="18">
        <v>0</v>
      </c>
      <c r="R9" s="18">
        <v>0</v>
      </c>
      <c r="S9" s="16">
        <v>153400</v>
      </c>
      <c r="U9" s="47">
        <v>46151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s="44" customFormat="1" x14ac:dyDescent="0.25">
      <c r="A10" s="41">
        <v>46151</v>
      </c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2">
        <v>500000</v>
      </c>
      <c r="P10" s="42"/>
      <c r="Q10" s="42"/>
      <c r="R10" s="42"/>
      <c r="S10" s="45">
        <v>195000</v>
      </c>
      <c r="U10" s="46">
        <v>46153</v>
      </c>
      <c r="V10" s="43" t="s">
        <v>2</v>
      </c>
      <c r="W10" s="43"/>
      <c r="X10" s="43" t="s">
        <v>2</v>
      </c>
      <c r="Y10" s="43"/>
      <c r="Z10" s="43"/>
      <c r="AA10" s="43" t="s">
        <v>54</v>
      </c>
      <c r="AB10" s="43" t="s">
        <v>1</v>
      </c>
      <c r="AC10" s="43" t="s">
        <v>55</v>
      </c>
      <c r="AD10" s="43"/>
      <c r="AE10" s="43"/>
      <c r="AF10" s="43"/>
      <c r="AG10" s="43"/>
      <c r="AH10" s="43"/>
      <c r="AI10" s="43"/>
      <c r="AJ10" s="43" t="s">
        <v>3</v>
      </c>
      <c r="AK10" s="43"/>
    </row>
    <row r="11" spans="1:37" x14ac:dyDescent="0.25">
      <c r="A11" s="17">
        <v>46153</v>
      </c>
      <c r="B11" s="18">
        <v>0</v>
      </c>
      <c r="C11" s="7">
        <v>18</v>
      </c>
      <c r="D11" s="7">
        <v>5</v>
      </c>
      <c r="E11" s="7">
        <v>2</v>
      </c>
      <c r="F11" s="7">
        <v>15</v>
      </c>
      <c r="G11" s="7">
        <v>2</v>
      </c>
      <c r="H11" s="7">
        <v>0</v>
      </c>
      <c r="I11" s="7"/>
      <c r="J11" s="7">
        <v>0</v>
      </c>
      <c r="K11" s="7"/>
      <c r="L11" s="7">
        <v>0</v>
      </c>
      <c r="M11" s="7">
        <v>0</v>
      </c>
      <c r="N11" s="7">
        <v>0</v>
      </c>
      <c r="O11" s="18">
        <v>488000</v>
      </c>
      <c r="P11" s="18">
        <v>171400</v>
      </c>
      <c r="Q11" s="18">
        <v>0</v>
      </c>
      <c r="R11" s="18">
        <v>0</v>
      </c>
      <c r="S11" s="16">
        <v>263150</v>
      </c>
      <c r="U11" s="46">
        <v>46154</v>
      </c>
      <c r="V11" s="7"/>
      <c r="W11" s="7"/>
      <c r="X11" s="7"/>
      <c r="Y11" s="7"/>
      <c r="Z11" s="7" t="s">
        <v>7</v>
      </c>
      <c r="AA11" s="7" t="s">
        <v>7</v>
      </c>
      <c r="AB11" s="7" t="s">
        <v>7</v>
      </c>
      <c r="AC11" s="7" t="s">
        <v>7</v>
      </c>
      <c r="AD11" s="7"/>
      <c r="AE11" s="7"/>
      <c r="AF11" s="7" t="s">
        <v>7</v>
      </c>
      <c r="AG11" s="7"/>
      <c r="AH11" s="7"/>
      <c r="AI11" s="7"/>
      <c r="AJ11" s="7"/>
      <c r="AK11" s="7"/>
    </row>
    <row r="12" spans="1:37" x14ac:dyDescent="0.25">
      <c r="A12" s="17">
        <v>46154</v>
      </c>
      <c r="B12" s="18">
        <v>27000</v>
      </c>
      <c r="C12" s="7">
        <v>10</v>
      </c>
      <c r="D12" s="7">
        <v>1</v>
      </c>
      <c r="E12" s="7">
        <v>4</v>
      </c>
      <c r="F12" s="7">
        <v>17</v>
      </c>
      <c r="G12" s="7"/>
      <c r="H12" s="7">
        <v>10</v>
      </c>
      <c r="I12" s="7"/>
      <c r="J12" s="7">
        <v>0</v>
      </c>
      <c r="K12" s="7"/>
      <c r="L12" s="7">
        <v>0</v>
      </c>
      <c r="M12" s="7">
        <v>14</v>
      </c>
      <c r="N12" s="7">
        <v>0</v>
      </c>
      <c r="O12" s="18">
        <v>741000</v>
      </c>
      <c r="P12" s="18">
        <v>187000</v>
      </c>
      <c r="Q12" s="18"/>
      <c r="R12" s="18">
        <v>124000</v>
      </c>
      <c r="S12" s="16">
        <v>409700</v>
      </c>
      <c r="U12" s="46">
        <v>46155</v>
      </c>
      <c r="V12" s="7" t="s">
        <v>1</v>
      </c>
      <c r="W12" s="7"/>
      <c r="X12" s="7" t="s">
        <v>1</v>
      </c>
      <c r="Y12" s="7"/>
      <c r="Z12" s="7"/>
      <c r="AA12" s="7"/>
      <c r="AB12" s="7" t="s">
        <v>3</v>
      </c>
      <c r="AC12" s="7"/>
      <c r="AD12" s="7"/>
      <c r="AE12" s="7"/>
      <c r="AF12" s="7" t="s">
        <v>44</v>
      </c>
      <c r="AG12" s="7"/>
      <c r="AH12" s="7"/>
      <c r="AI12" s="7"/>
      <c r="AJ12" s="7"/>
      <c r="AK12" s="7"/>
    </row>
    <row r="13" spans="1:37" x14ac:dyDescent="0.25">
      <c r="A13" s="17">
        <v>46155</v>
      </c>
      <c r="B13" s="18">
        <v>84000</v>
      </c>
      <c r="C13" s="7">
        <v>13</v>
      </c>
      <c r="D13" s="7">
        <v>0</v>
      </c>
      <c r="E13" s="7">
        <v>12</v>
      </c>
      <c r="F13" s="7">
        <v>11</v>
      </c>
      <c r="G13" s="7">
        <v>0</v>
      </c>
      <c r="H13" s="7">
        <v>2</v>
      </c>
      <c r="I13" s="7"/>
      <c r="J13" s="7">
        <v>0</v>
      </c>
      <c r="K13" s="7"/>
      <c r="L13" s="7">
        <v>0</v>
      </c>
      <c r="M13" s="7">
        <v>0</v>
      </c>
      <c r="N13" s="7">
        <v>0</v>
      </c>
      <c r="O13" s="18">
        <v>604000</v>
      </c>
      <c r="P13" s="18">
        <v>191200</v>
      </c>
      <c r="Q13" s="18">
        <v>0</v>
      </c>
      <c r="R13" s="18">
        <v>0</v>
      </c>
      <c r="S13" s="16">
        <v>145200</v>
      </c>
      <c r="U13" s="46">
        <v>46156</v>
      </c>
      <c r="V13" s="7" t="s">
        <v>21</v>
      </c>
      <c r="W13" s="7" t="s">
        <v>1</v>
      </c>
      <c r="X13" s="7" t="s">
        <v>21</v>
      </c>
      <c r="Y13" s="7"/>
      <c r="Z13" s="7" t="s">
        <v>1</v>
      </c>
      <c r="AA13" s="7" t="s">
        <v>1</v>
      </c>
      <c r="AB13" s="7" t="s">
        <v>1</v>
      </c>
      <c r="AC13" s="7" t="s">
        <v>7</v>
      </c>
      <c r="AD13" s="7" t="s">
        <v>3</v>
      </c>
      <c r="AE13" s="7"/>
      <c r="AF13" s="7" t="s">
        <v>2</v>
      </c>
      <c r="AG13" s="7"/>
      <c r="AH13" s="7"/>
      <c r="AI13" s="7"/>
      <c r="AJ13" s="7"/>
      <c r="AK13" s="7" t="s">
        <v>49</v>
      </c>
    </row>
    <row r="14" spans="1:37" x14ac:dyDescent="0.25">
      <c r="A14" s="17">
        <v>46156</v>
      </c>
      <c r="B14" s="18">
        <v>0</v>
      </c>
      <c r="C14" s="7">
        <v>18</v>
      </c>
      <c r="D14" s="7">
        <v>0</v>
      </c>
      <c r="E14" s="7">
        <v>11</v>
      </c>
      <c r="F14" s="7">
        <v>17</v>
      </c>
      <c r="G14" s="7">
        <v>0</v>
      </c>
      <c r="H14" s="7">
        <v>0</v>
      </c>
      <c r="I14" s="7"/>
      <c r="J14" s="7">
        <v>0</v>
      </c>
      <c r="K14" s="7"/>
      <c r="L14" s="7">
        <v>0</v>
      </c>
      <c r="M14" s="7">
        <v>10</v>
      </c>
      <c r="N14" s="7">
        <v>0</v>
      </c>
      <c r="O14" s="18">
        <v>670000</v>
      </c>
      <c r="P14" s="18">
        <v>0</v>
      </c>
      <c r="Q14" s="18">
        <v>0</v>
      </c>
      <c r="R14" s="18">
        <v>274000</v>
      </c>
      <c r="S14" s="16">
        <v>87600</v>
      </c>
      <c r="U14" s="46">
        <v>46157</v>
      </c>
      <c r="V14" s="7" t="s">
        <v>1</v>
      </c>
      <c r="W14" s="7"/>
      <c r="X14" s="7"/>
      <c r="Y14" s="7" t="s">
        <v>21</v>
      </c>
      <c r="Z14" s="7"/>
      <c r="AA14" s="7"/>
      <c r="AB14" s="7" t="s">
        <v>58</v>
      </c>
      <c r="AC14" s="7" t="s">
        <v>54</v>
      </c>
      <c r="AD14" s="7"/>
      <c r="AE14" s="7"/>
      <c r="AF14" s="7"/>
      <c r="AG14" s="7"/>
      <c r="AH14" s="7"/>
      <c r="AI14" s="7" t="s">
        <v>1</v>
      </c>
      <c r="AJ14" s="7"/>
      <c r="AK14" s="7"/>
    </row>
    <row r="15" spans="1:37" x14ac:dyDescent="0.25">
      <c r="A15" s="17">
        <v>46157</v>
      </c>
      <c r="B15" s="18">
        <v>0</v>
      </c>
      <c r="C15" s="7">
        <v>14</v>
      </c>
      <c r="D15" s="7">
        <v>0</v>
      </c>
      <c r="E15" s="7">
        <v>0</v>
      </c>
      <c r="F15" s="7">
        <v>13</v>
      </c>
      <c r="G15" s="7">
        <v>4</v>
      </c>
      <c r="H15" s="7">
        <v>0</v>
      </c>
      <c r="I15" s="7"/>
      <c r="J15" s="7">
        <v>0</v>
      </c>
      <c r="K15" s="7"/>
      <c r="L15" s="7">
        <v>0</v>
      </c>
      <c r="M15" s="7">
        <v>7</v>
      </c>
      <c r="N15" s="7">
        <v>0</v>
      </c>
      <c r="O15" s="18">
        <v>446000</v>
      </c>
      <c r="P15" s="18">
        <v>94000</v>
      </c>
      <c r="Q15" s="18">
        <v>64000</v>
      </c>
      <c r="R15" s="18">
        <v>0</v>
      </c>
      <c r="S15" s="16">
        <v>49700</v>
      </c>
      <c r="U15" s="46">
        <v>46158</v>
      </c>
      <c r="V15" s="7" t="s">
        <v>59</v>
      </c>
      <c r="W15" s="7"/>
      <c r="X15" s="7" t="s">
        <v>21</v>
      </c>
      <c r="Y15" s="7" t="s">
        <v>59</v>
      </c>
      <c r="Z15" s="7" t="s">
        <v>1</v>
      </c>
      <c r="AA15" s="7" t="s">
        <v>60</v>
      </c>
      <c r="AB15" s="7"/>
      <c r="AC15" s="7"/>
      <c r="AD15" s="7"/>
      <c r="AE15" s="7"/>
      <c r="AF15" s="7" t="s">
        <v>2</v>
      </c>
      <c r="AG15" s="7"/>
      <c r="AH15" s="7"/>
      <c r="AI15" s="7"/>
      <c r="AJ15" s="7"/>
      <c r="AK15" s="7"/>
    </row>
    <row r="16" spans="1:37" x14ac:dyDescent="0.25">
      <c r="A16" s="17">
        <v>46158</v>
      </c>
      <c r="B16" s="18">
        <v>0</v>
      </c>
      <c r="C16" s="7">
        <v>14</v>
      </c>
      <c r="D16" s="7">
        <v>0</v>
      </c>
      <c r="E16" s="7">
        <v>15</v>
      </c>
      <c r="F16" s="7">
        <v>7</v>
      </c>
      <c r="G16" s="7"/>
      <c r="H16" s="7">
        <v>0</v>
      </c>
      <c r="I16" s="7"/>
      <c r="J16" s="7">
        <v>0</v>
      </c>
      <c r="K16" s="7"/>
      <c r="L16" s="7">
        <v>0</v>
      </c>
      <c r="M16" s="7">
        <v>9</v>
      </c>
      <c r="N16" s="7">
        <v>0</v>
      </c>
      <c r="O16" s="18">
        <v>620000</v>
      </c>
      <c r="P16" s="18">
        <v>444000</v>
      </c>
      <c r="Q16" s="18">
        <v>0</v>
      </c>
      <c r="R16" s="18">
        <v>0</v>
      </c>
      <c r="S16" s="16">
        <v>78100</v>
      </c>
      <c r="U16" s="46">
        <v>46161</v>
      </c>
      <c r="V16" s="7" t="s">
        <v>1</v>
      </c>
      <c r="W16" s="7"/>
      <c r="X16" s="7" t="s">
        <v>1</v>
      </c>
      <c r="Y16" s="7" t="s">
        <v>3</v>
      </c>
      <c r="Z16" s="7" t="s">
        <v>2</v>
      </c>
      <c r="AA16" s="7"/>
      <c r="AB16" s="7"/>
      <c r="AC16" s="7" t="s">
        <v>54</v>
      </c>
      <c r="AD16" s="7" t="s">
        <v>2</v>
      </c>
      <c r="AE16" s="7"/>
      <c r="AF16" s="7" t="s">
        <v>2</v>
      </c>
      <c r="AG16" s="7"/>
      <c r="AH16" s="7"/>
      <c r="AI16" s="7"/>
      <c r="AJ16" s="7"/>
      <c r="AK16" s="7"/>
    </row>
    <row r="17" spans="1:37" x14ac:dyDescent="0.25">
      <c r="A17" s="17">
        <v>46161</v>
      </c>
      <c r="B17" s="18">
        <v>33000</v>
      </c>
      <c r="C17" s="7">
        <v>16</v>
      </c>
      <c r="D17" s="7">
        <v>8</v>
      </c>
      <c r="E17" s="7">
        <v>8</v>
      </c>
      <c r="F17" s="7">
        <v>19</v>
      </c>
      <c r="G17" s="7">
        <v>0</v>
      </c>
      <c r="H17" s="7">
        <v>0</v>
      </c>
      <c r="I17" s="7"/>
      <c r="J17" s="7">
        <v>0</v>
      </c>
      <c r="K17" s="7"/>
      <c r="L17" s="7">
        <v>0</v>
      </c>
      <c r="M17" s="7">
        <v>2</v>
      </c>
      <c r="N17" s="7">
        <v>0</v>
      </c>
      <c r="O17" s="18">
        <v>687000</v>
      </c>
      <c r="P17" s="18">
        <v>85000</v>
      </c>
      <c r="Q17" s="18">
        <v>0</v>
      </c>
      <c r="R17" s="18">
        <v>172000</v>
      </c>
      <c r="S17" s="16">
        <v>22337350</v>
      </c>
      <c r="U17" s="46">
        <v>46162</v>
      </c>
      <c r="V17" s="7" t="s">
        <v>1</v>
      </c>
      <c r="W17" s="7" t="s">
        <v>55</v>
      </c>
      <c r="X17" s="7" t="s">
        <v>1</v>
      </c>
      <c r="Y17" s="7" t="s">
        <v>1</v>
      </c>
      <c r="Z17" s="7" t="s">
        <v>7</v>
      </c>
      <c r="AA17" s="7" t="s">
        <v>44</v>
      </c>
      <c r="AB17" s="7"/>
      <c r="AC17" s="7"/>
      <c r="AD17" s="7" t="s">
        <v>54</v>
      </c>
      <c r="AE17" s="7"/>
      <c r="AF17" s="7" t="s">
        <v>43</v>
      </c>
      <c r="AG17" s="7"/>
      <c r="AH17" s="7"/>
      <c r="AI17" s="7"/>
      <c r="AJ17" s="7"/>
      <c r="AK17" s="7"/>
    </row>
    <row r="18" spans="1:37" x14ac:dyDescent="0.25">
      <c r="A18" s="17">
        <v>46162</v>
      </c>
      <c r="B18" s="18">
        <v>0</v>
      </c>
      <c r="C18" s="7">
        <v>14</v>
      </c>
      <c r="D18" s="7">
        <v>8</v>
      </c>
      <c r="E18" s="7">
        <v>1</v>
      </c>
      <c r="F18" s="7">
        <v>19</v>
      </c>
      <c r="G18" s="7">
        <v>0</v>
      </c>
      <c r="H18" s="7">
        <v>5</v>
      </c>
      <c r="I18" s="7">
        <v>0</v>
      </c>
      <c r="J18" s="7">
        <v>0</v>
      </c>
      <c r="K18" s="7">
        <v>10</v>
      </c>
      <c r="L18" s="7">
        <v>0</v>
      </c>
      <c r="M18" s="7">
        <v>8</v>
      </c>
      <c r="N18" s="7">
        <v>0</v>
      </c>
      <c r="O18" s="18">
        <v>824000</v>
      </c>
      <c r="P18" s="18">
        <v>401000</v>
      </c>
      <c r="Q18" s="18">
        <v>0</v>
      </c>
      <c r="R18" s="18">
        <v>0</v>
      </c>
      <c r="S18" s="16">
        <v>64400</v>
      </c>
      <c r="U18" s="46">
        <v>46163</v>
      </c>
      <c r="V18" s="7" t="s">
        <v>1</v>
      </c>
      <c r="W18" s="7"/>
      <c r="X18" s="7" t="s">
        <v>1</v>
      </c>
      <c r="Y18" s="7" t="s">
        <v>1</v>
      </c>
      <c r="Z18" s="7" t="s">
        <v>61</v>
      </c>
      <c r="AA18" s="7" t="s">
        <v>61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A19" s="17">
        <v>46163</v>
      </c>
      <c r="B19" s="18">
        <v>28000</v>
      </c>
      <c r="C19" s="7">
        <v>17</v>
      </c>
      <c r="D19" s="7">
        <v>4</v>
      </c>
      <c r="E19" s="7"/>
      <c r="F19" s="7">
        <v>5</v>
      </c>
      <c r="G19" s="7"/>
      <c r="H19" s="7"/>
      <c r="I19" s="7"/>
      <c r="J19" s="7">
        <v>23</v>
      </c>
      <c r="K19" s="7"/>
      <c r="L19" s="7"/>
      <c r="M19" s="7"/>
      <c r="N19" s="7"/>
      <c r="O19" s="18">
        <v>694000</v>
      </c>
      <c r="P19" s="18">
        <v>0</v>
      </c>
      <c r="Q19" s="18">
        <v>0</v>
      </c>
      <c r="R19" s="18">
        <v>283000</v>
      </c>
      <c r="S19" s="16">
        <v>70000</v>
      </c>
      <c r="U19" s="46">
        <v>46164</v>
      </c>
      <c r="V19" s="7" t="s">
        <v>1</v>
      </c>
      <c r="W19" s="7" t="s">
        <v>1</v>
      </c>
      <c r="X19" s="7" t="s">
        <v>1</v>
      </c>
      <c r="Y19" s="7" t="s">
        <v>1</v>
      </c>
      <c r="Z19" s="7" t="s">
        <v>4</v>
      </c>
      <c r="AA19" s="7" t="s">
        <v>43</v>
      </c>
      <c r="AB19" s="7"/>
      <c r="AC19" s="7"/>
      <c r="AD19" s="7"/>
      <c r="AE19" s="7"/>
      <c r="AF19" s="7" t="s">
        <v>3</v>
      </c>
      <c r="AG19" s="7"/>
      <c r="AH19" s="7"/>
      <c r="AI19" s="7"/>
      <c r="AJ19" s="7"/>
      <c r="AK19" s="7"/>
    </row>
    <row r="20" spans="1:37" x14ac:dyDescent="0.25">
      <c r="A20" s="17">
        <v>46164</v>
      </c>
      <c r="B20" s="18">
        <v>32000</v>
      </c>
      <c r="C20" s="7">
        <v>12</v>
      </c>
      <c r="D20" s="7">
        <v>3</v>
      </c>
      <c r="E20" s="7">
        <v>1</v>
      </c>
      <c r="F20" s="7">
        <v>11</v>
      </c>
      <c r="G20" s="7">
        <v>2</v>
      </c>
      <c r="H20" s="7"/>
      <c r="I20" s="7"/>
      <c r="J20" s="7"/>
      <c r="K20" s="7">
        <v>8</v>
      </c>
      <c r="L20" s="7"/>
      <c r="M20" s="7"/>
      <c r="N20" s="7"/>
      <c r="O20" s="18">
        <v>460000</v>
      </c>
      <c r="P20" s="18">
        <v>127000</v>
      </c>
      <c r="Q20" s="18">
        <v>0</v>
      </c>
      <c r="R20" s="18">
        <v>0</v>
      </c>
      <c r="S20" s="16">
        <v>23800</v>
      </c>
      <c r="U20" s="46">
        <v>46165</v>
      </c>
      <c r="V20" s="7" t="s">
        <v>62</v>
      </c>
      <c r="W20" s="7"/>
      <c r="X20" s="7" t="s">
        <v>63</v>
      </c>
      <c r="Y20" s="7" t="s">
        <v>64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25">
      <c r="A21" s="17">
        <v>46165</v>
      </c>
      <c r="B21" s="18">
        <v>110000</v>
      </c>
      <c r="C21" s="7">
        <v>19</v>
      </c>
      <c r="D21" s="7">
        <v>4</v>
      </c>
      <c r="E21" s="7">
        <v>6</v>
      </c>
      <c r="F21" s="7">
        <v>15</v>
      </c>
      <c r="G21" s="7">
        <v>3</v>
      </c>
      <c r="H21" s="7"/>
      <c r="I21" s="7"/>
      <c r="J21" s="7"/>
      <c r="K21" s="7"/>
      <c r="L21" s="7"/>
      <c r="M21" s="7">
        <v>5</v>
      </c>
      <c r="N21" s="7"/>
      <c r="O21" s="18">
        <v>814000</v>
      </c>
      <c r="P21" s="18">
        <v>226000</v>
      </c>
      <c r="Q21" s="18">
        <v>0</v>
      </c>
      <c r="R21" s="18">
        <v>0</v>
      </c>
      <c r="S21" s="16">
        <v>39600</v>
      </c>
      <c r="U21" s="46">
        <v>46167</v>
      </c>
      <c r="V21" s="7" t="s">
        <v>63</v>
      </c>
      <c r="W21" s="7"/>
      <c r="X21" s="7" t="s">
        <v>2</v>
      </c>
      <c r="Y21" s="7" t="s">
        <v>2</v>
      </c>
      <c r="Z21" s="7" t="s">
        <v>2</v>
      </c>
      <c r="AA21" s="7"/>
      <c r="AB21" s="7"/>
      <c r="AC21" s="7"/>
      <c r="AD21" s="7" t="s">
        <v>2</v>
      </c>
      <c r="AE21" s="7" t="s">
        <v>17</v>
      </c>
      <c r="AF21" s="7" t="s">
        <v>65</v>
      </c>
      <c r="AG21" s="7"/>
      <c r="AH21" s="7"/>
      <c r="AI21" s="7"/>
      <c r="AJ21" s="7"/>
      <c r="AK21" s="7"/>
    </row>
    <row r="22" spans="1:37" x14ac:dyDescent="0.25">
      <c r="A22" s="17">
        <v>46167</v>
      </c>
      <c r="B22" s="18">
        <v>0</v>
      </c>
      <c r="C22" s="7">
        <v>11</v>
      </c>
      <c r="D22" s="7">
        <v>9</v>
      </c>
      <c r="E22" s="7">
        <v>7</v>
      </c>
      <c r="F22" s="7">
        <v>14</v>
      </c>
      <c r="G22" s="7"/>
      <c r="H22" s="7"/>
      <c r="I22" s="7"/>
      <c r="J22" s="7"/>
      <c r="K22" s="7"/>
      <c r="L22" s="7"/>
      <c r="M22" s="7"/>
      <c r="N22" s="7"/>
      <c r="O22" s="18">
        <v>616000</v>
      </c>
      <c r="P22" s="18">
        <v>248000</v>
      </c>
      <c r="Q22" s="18">
        <v>0</v>
      </c>
      <c r="R22" s="18">
        <v>0</v>
      </c>
      <c r="S22" s="16">
        <v>79450</v>
      </c>
      <c r="U22" s="46">
        <v>46168</v>
      </c>
      <c r="V22" s="7" t="s">
        <v>1</v>
      </c>
      <c r="W22" s="7"/>
      <c r="X22" s="7" t="s">
        <v>1</v>
      </c>
      <c r="Y22" s="7"/>
      <c r="Z22" s="7" t="s">
        <v>1</v>
      </c>
      <c r="AA22" s="7"/>
      <c r="AB22" s="7"/>
      <c r="AC22" s="7"/>
      <c r="AD22" s="7"/>
      <c r="AE22" s="7"/>
      <c r="AF22" s="7"/>
      <c r="AG22" s="7"/>
      <c r="AH22" s="7"/>
      <c r="AI22" s="7" t="s">
        <v>66</v>
      </c>
      <c r="AJ22" s="7"/>
      <c r="AK22" s="7"/>
    </row>
    <row r="23" spans="1:37" x14ac:dyDescent="0.25">
      <c r="A23" s="17">
        <v>46168</v>
      </c>
      <c r="B23" s="18">
        <v>18000</v>
      </c>
      <c r="C23" s="7">
        <v>16</v>
      </c>
      <c r="D23" s="7">
        <v>8</v>
      </c>
      <c r="E23" s="7">
        <v>9</v>
      </c>
      <c r="F23" s="7">
        <v>10</v>
      </c>
      <c r="G23" s="7"/>
      <c r="H23" s="7"/>
      <c r="I23" s="7">
        <v>9</v>
      </c>
      <c r="J23" s="7"/>
      <c r="K23" s="7"/>
      <c r="L23" s="7">
        <v>1</v>
      </c>
      <c r="M23" s="7">
        <v>5</v>
      </c>
      <c r="N23" s="7"/>
      <c r="O23" s="18">
        <v>723000</v>
      </c>
      <c r="P23" s="18">
        <v>370000</v>
      </c>
      <c r="Q23" s="18">
        <v>0</v>
      </c>
      <c r="R23" s="18">
        <v>0</v>
      </c>
      <c r="S23" s="16">
        <v>741000</v>
      </c>
      <c r="U23" s="46">
        <v>46169</v>
      </c>
      <c r="V23" s="7" t="s">
        <v>1</v>
      </c>
      <c r="W23" s="7"/>
      <c r="X23" s="7" t="s">
        <v>1</v>
      </c>
      <c r="Y23" s="7" t="s">
        <v>1</v>
      </c>
      <c r="Z23" s="7" t="s">
        <v>1</v>
      </c>
      <c r="AA23" s="7" t="s">
        <v>67</v>
      </c>
      <c r="AB23" s="7"/>
      <c r="AC23" s="7"/>
      <c r="AD23" s="7" t="s">
        <v>2</v>
      </c>
      <c r="AE23" s="7" t="s">
        <v>68</v>
      </c>
      <c r="AF23" s="7" t="s">
        <v>69</v>
      </c>
      <c r="AG23" s="7"/>
      <c r="AH23" s="7"/>
      <c r="AI23" s="7"/>
      <c r="AJ23" s="7"/>
      <c r="AK23" s="7"/>
    </row>
    <row r="24" spans="1:37" x14ac:dyDescent="0.25">
      <c r="A24" s="17">
        <v>46169</v>
      </c>
      <c r="B24" s="18">
        <v>0</v>
      </c>
      <c r="C24" s="7">
        <v>26</v>
      </c>
      <c r="D24" s="7">
        <v>17</v>
      </c>
      <c r="E24" s="7">
        <v>5</v>
      </c>
      <c r="F24" s="7">
        <v>4</v>
      </c>
      <c r="G24" s="7"/>
      <c r="H24" s="7"/>
      <c r="I24" s="7"/>
      <c r="J24" s="7"/>
      <c r="K24" s="7"/>
      <c r="L24" s="7"/>
      <c r="M24" s="7"/>
      <c r="N24" s="7"/>
      <c r="O24" s="18">
        <v>605000</v>
      </c>
      <c r="P24" s="18">
        <v>364000</v>
      </c>
      <c r="Q24" s="18">
        <v>0</v>
      </c>
      <c r="R24" s="18">
        <v>0</v>
      </c>
      <c r="S24" s="16">
        <v>112000</v>
      </c>
      <c r="U24" s="46">
        <v>46170</v>
      </c>
      <c r="V24" s="7" t="s">
        <v>1</v>
      </c>
      <c r="W24" s="7"/>
      <c r="X24" s="7" t="s">
        <v>1</v>
      </c>
      <c r="Y24" s="7" t="s">
        <v>1</v>
      </c>
      <c r="Z24" s="7" t="s">
        <v>61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25">
      <c r="A25" s="17">
        <v>46170</v>
      </c>
      <c r="B25" s="18">
        <v>0</v>
      </c>
      <c r="C25" s="7">
        <v>9</v>
      </c>
      <c r="D25" s="7">
        <v>1</v>
      </c>
      <c r="E25" s="7">
        <v>6</v>
      </c>
      <c r="F25" s="7">
        <v>5</v>
      </c>
      <c r="G25" s="7"/>
      <c r="H25" s="7"/>
      <c r="I25" s="7"/>
      <c r="J25" s="7">
        <v>25</v>
      </c>
      <c r="K25" s="7"/>
      <c r="L25" s="7"/>
      <c r="M25" s="7"/>
      <c r="N25" s="7"/>
      <c r="O25" s="18">
        <v>607500</v>
      </c>
      <c r="P25" s="18">
        <v>266000</v>
      </c>
      <c r="Q25" s="18">
        <v>0</v>
      </c>
      <c r="R25" s="18">
        <v>0</v>
      </c>
      <c r="S25" s="16">
        <v>330750</v>
      </c>
      <c r="U25" s="46">
        <v>46171</v>
      </c>
      <c r="V25" s="7" t="s">
        <v>21</v>
      </c>
      <c r="W25" s="7" t="s">
        <v>44</v>
      </c>
      <c r="X25" s="7" t="s">
        <v>21</v>
      </c>
      <c r="Y25" s="7" t="s">
        <v>21</v>
      </c>
      <c r="Z25" s="7" t="s">
        <v>1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25">
      <c r="A26" s="17">
        <v>46171</v>
      </c>
      <c r="B26" s="18">
        <v>28000</v>
      </c>
      <c r="C26" s="7">
        <v>15</v>
      </c>
      <c r="D26" s="7">
        <v>1</v>
      </c>
      <c r="E26" s="7">
        <v>2</v>
      </c>
      <c r="F26" s="7">
        <v>9</v>
      </c>
      <c r="G26" s="7"/>
      <c r="H26" s="7"/>
      <c r="I26" s="7"/>
      <c r="J26" s="7"/>
      <c r="K26" s="7">
        <v>1</v>
      </c>
      <c r="L26" s="7">
        <v>1</v>
      </c>
      <c r="M26" s="7">
        <v>5</v>
      </c>
      <c r="N26" s="7"/>
      <c r="O26" s="18">
        <v>489000</v>
      </c>
      <c r="P26" s="18">
        <v>196000</v>
      </c>
      <c r="Q26" s="18">
        <v>0</v>
      </c>
      <c r="R26" s="18">
        <v>0</v>
      </c>
      <c r="S26" s="16">
        <v>358500</v>
      </c>
      <c r="U26" s="46">
        <v>46172</v>
      </c>
      <c r="V26" s="7" t="s">
        <v>1</v>
      </c>
      <c r="W26" s="7"/>
      <c r="X26" s="7" t="s">
        <v>1</v>
      </c>
      <c r="Y26" s="7" t="s">
        <v>1</v>
      </c>
      <c r="Z26" s="7"/>
      <c r="AA26" s="7"/>
      <c r="AB26" s="7" t="s">
        <v>58</v>
      </c>
      <c r="AC26" s="7" t="s">
        <v>1</v>
      </c>
      <c r="AD26" s="7" t="s">
        <v>1</v>
      </c>
      <c r="AE26" s="7"/>
      <c r="AF26" s="7" t="s">
        <v>1</v>
      </c>
      <c r="AG26" s="7"/>
      <c r="AH26" s="7"/>
      <c r="AI26" s="7" t="s">
        <v>1</v>
      </c>
      <c r="AJ26" s="7"/>
      <c r="AK26" s="7"/>
    </row>
    <row r="27" spans="1:37" ht="15.75" thickBot="1" x14ac:dyDescent="0.3">
      <c r="A27" s="33">
        <v>46172</v>
      </c>
      <c r="B27" s="36">
        <v>9000</v>
      </c>
      <c r="C27" s="34">
        <v>16</v>
      </c>
      <c r="D27" s="34">
        <v>6</v>
      </c>
      <c r="E27" s="34">
        <v>10</v>
      </c>
      <c r="F27" s="34">
        <v>11</v>
      </c>
      <c r="G27" s="34"/>
      <c r="H27" s="34"/>
      <c r="I27" s="34"/>
      <c r="J27" s="34"/>
      <c r="K27" s="34"/>
      <c r="L27" s="34"/>
      <c r="M27" s="34"/>
      <c r="N27" s="34"/>
      <c r="O27" s="36">
        <v>489000</v>
      </c>
      <c r="P27" s="36">
        <v>221000</v>
      </c>
      <c r="Q27" s="36">
        <v>0</v>
      </c>
      <c r="R27" s="36">
        <v>0</v>
      </c>
      <c r="S27" s="35">
        <v>32300</v>
      </c>
    </row>
    <row r="28" spans="1:37" ht="15.75" thickTop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6406-E030-49E7-9806-4ABA855B2C25}">
  <dimension ref="A1:AK27"/>
  <sheetViews>
    <sheetView zoomScale="68" zoomScaleNormal="68" workbookViewId="0">
      <selection activeCell="AG2" sqref="AG2"/>
    </sheetView>
  </sheetViews>
  <sheetFormatPr baseColWidth="10" defaultRowHeight="15" x14ac:dyDescent="0.25"/>
  <cols>
    <col min="1" max="1" width="11.5703125" bestFit="1" customWidth="1"/>
    <col min="2" max="2" width="16" customWidth="1"/>
    <col min="3" max="14" width="11.5703125" bestFit="1" customWidth="1"/>
    <col min="15" max="16" width="16.5703125" bestFit="1" customWidth="1"/>
    <col min="17" max="17" width="15.28515625" bestFit="1" customWidth="1"/>
    <col min="18" max="18" width="16.5703125" bestFit="1" customWidth="1"/>
    <col min="19" max="19" width="19.7109375" bestFit="1" customWidth="1"/>
    <col min="21" max="21" width="11.5703125" bestFit="1" customWidth="1"/>
  </cols>
  <sheetData>
    <row r="1" spans="1:37" ht="21" x14ac:dyDescent="0.35">
      <c r="A1" s="49" t="s">
        <v>70</v>
      </c>
      <c r="B1" s="9" t="s">
        <v>23</v>
      </c>
      <c r="C1" s="8" t="s">
        <v>1</v>
      </c>
      <c r="D1" s="8" t="s">
        <v>2</v>
      </c>
      <c r="E1" s="8" t="s">
        <v>3</v>
      </c>
      <c r="F1" s="8" t="s">
        <v>27</v>
      </c>
      <c r="G1" s="8" t="s">
        <v>4</v>
      </c>
      <c r="H1" s="8" t="s">
        <v>32</v>
      </c>
      <c r="I1" s="8" t="s">
        <v>5</v>
      </c>
      <c r="J1" s="8" t="s">
        <v>8</v>
      </c>
      <c r="K1" s="8" t="s">
        <v>44</v>
      </c>
      <c r="L1" s="8" t="s">
        <v>43</v>
      </c>
      <c r="M1" s="8" t="s">
        <v>21</v>
      </c>
      <c r="N1" s="11" t="s">
        <v>14</v>
      </c>
      <c r="O1" s="12" t="s">
        <v>30</v>
      </c>
      <c r="P1" s="9" t="s">
        <v>11</v>
      </c>
      <c r="Q1" s="9" t="s">
        <v>12</v>
      </c>
      <c r="R1" s="9" t="s">
        <v>19</v>
      </c>
      <c r="S1" s="13" t="s">
        <v>15</v>
      </c>
      <c r="U1" s="14"/>
      <c r="V1" s="8" t="s">
        <v>33</v>
      </c>
      <c r="W1" s="8" t="s">
        <v>38</v>
      </c>
      <c r="X1" s="8" t="s">
        <v>34</v>
      </c>
      <c r="Y1" s="8" t="s">
        <v>39</v>
      </c>
      <c r="Z1" s="8" t="s">
        <v>40</v>
      </c>
      <c r="AA1" s="8" t="s">
        <v>35</v>
      </c>
      <c r="AB1" s="8" t="s">
        <v>36</v>
      </c>
      <c r="AC1" s="8" t="s">
        <v>41</v>
      </c>
      <c r="AD1" s="8" t="s">
        <v>46</v>
      </c>
      <c r="AE1" s="8" t="s">
        <v>45</v>
      </c>
      <c r="AF1" s="8" t="s">
        <v>37</v>
      </c>
      <c r="AG1" s="8" t="s">
        <v>42</v>
      </c>
      <c r="AH1" s="8" t="s">
        <v>47</v>
      </c>
      <c r="AI1" s="8" t="s">
        <v>48</v>
      </c>
      <c r="AJ1" s="8" t="s">
        <v>56</v>
      </c>
      <c r="AK1" s="8" t="s">
        <v>57</v>
      </c>
    </row>
    <row r="2" spans="1:37" x14ac:dyDescent="0.25">
      <c r="A2" s="51">
        <v>46174</v>
      </c>
      <c r="B2" s="50">
        <v>0</v>
      </c>
      <c r="C2" s="7">
        <v>14</v>
      </c>
      <c r="D2" s="7">
        <v>4</v>
      </c>
      <c r="E2" s="7">
        <v>13</v>
      </c>
      <c r="F2" s="7">
        <v>6</v>
      </c>
      <c r="G2" s="7">
        <v>5</v>
      </c>
      <c r="H2" s="7"/>
      <c r="I2" s="7"/>
      <c r="J2" s="7"/>
      <c r="K2" s="7"/>
      <c r="L2" s="7"/>
      <c r="M2" s="7"/>
      <c r="N2" s="19"/>
      <c r="O2" s="20">
        <v>549500</v>
      </c>
      <c r="P2" s="50">
        <v>286000</v>
      </c>
      <c r="Q2" s="50">
        <v>0</v>
      </c>
      <c r="R2" s="50">
        <v>0</v>
      </c>
      <c r="S2" s="16">
        <v>155050</v>
      </c>
      <c r="U2" s="17"/>
      <c r="V2" s="7"/>
      <c r="W2" s="7"/>
      <c r="X2" s="7"/>
      <c r="Y2" s="7"/>
      <c r="Z2" s="7" t="s">
        <v>4</v>
      </c>
      <c r="AA2" s="7" t="s">
        <v>1</v>
      </c>
      <c r="AB2" s="7" t="s">
        <v>71</v>
      </c>
      <c r="AC2" s="7" t="s">
        <v>1</v>
      </c>
      <c r="AD2" s="7"/>
      <c r="AE2" s="7" t="s">
        <v>4</v>
      </c>
      <c r="AF2" s="7" t="s">
        <v>2</v>
      </c>
      <c r="AG2" s="7" t="s">
        <v>1</v>
      </c>
      <c r="AH2" s="7"/>
      <c r="AI2" s="7"/>
      <c r="AJ2" s="7"/>
      <c r="AK2" s="7"/>
    </row>
    <row r="3" spans="1:37" x14ac:dyDescent="0.25">
      <c r="A3" s="1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9"/>
      <c r="O3" s="20"/>
      <c r="P3" s="18"/>
      <c r="Q3" s="18"/>
      <c r="R3" s="18"/>
      <c r="S3" s="16"/>
      <c r="U3" s="4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x14ac:dyDescent="0.25">
      <c r="A4" s="17"/>
      <c r="B4" s="1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9"/>
      <c r="O4" s="20"/>
      <c r="P4" s="18"/>
      <c r="Q4" s="18"/>
      <c r="R4" s="18"/>
      <c r="S4" s="16"/>
      <c r="U4" s="4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x14ac:dyDescent="0.25">
      <c r="A5" s="17"/>
      <c r="B5" s="1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19"/>
      <c r="O5" s="20"/>
      <c r="P5" s="18"/>
      <c r="Q5" s="18"/>
      <c r="R5" s="18"/>
      <c r="S5" s="16"/>
      <c r="U5" s="4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x14ac:dyDescent="0.25">
      <c r="A6" s="17"/>
      <c r="B6" s="1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9"/>
      <c r="O6" s="20"/>
      <c r="P6" s="18"/>
      <c r="Q6" s="18"/>
      <c r="R6" s="18"/>
      <c r="S6" s="16"/>
      <c r="U6" s="4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x14ac:dyDescent="0.25">
      <c r="A7" s="17"/>
      <c r="B7" s="1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8"/>
      <c r="P7" s="18"/>
      <c r="Q7" s="18"/>
      <c r="R7" s="18"/>
      <c r="S7" s="16"/>
      <c r="U7" s="4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x14ac:dyDescent="0.25">
      <c r="A8" s="17"/>
      <c r="B8" s="1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8"/>
      <c r="P8" s="18"/>
      <c r="Q8" s="18"/>
      <c r="R8" s="18"/>
      <c r="S8" s="16"/>
      <c r="U8" s="4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25">
      <c r="A9" s="41"/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2"/>
      <c r="P9" s="42"/>
      <c r="Q9" s="42"/>
      <c r="R9" s="42"/>
      <c r="S9" s="45"/>
      <c r="T9" s="44"/>
      <c r="U9" s="46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spans="1:37" x14ac:dyDescent="0.25">
      <c r="A10" s="17"/>
      <c r="B10" s="1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8"/>
      <c r="P10" s="18"/>
      <c r="Q10" s="18"/>
      <c r="R10" s="18"/>
      <c r="S10" s="16"/>
      <c r="U10" s="46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25">
      <c r="A11" s="17"/>
      <c r="B11" s="1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8"/>
      <c r="P11" s="18"/>
      <c r="Q11" s="18"/>
      <c r="R11" s="18"/>
      <c r="S11" s="16"/>
      <c r="U11" s="46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25">
      <c r="A12" s="17"/>
      <c r="B12" s="1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8"/>
      <c r="P12" s="18"/>
      <c r="Q12" s="18"/>
      <c r="R12" s="18"/>
      <c r="S12" s="16"/>
      <c r="U12" s="46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25">
      <c r="A13" s="17"/>
      <c r="B13" s="1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8"/>
      <c r="P13" s="18"/>
      <c r="Q13" s="18"/>
      <c r="R13" s="18"/>
      <c r="S13" s="16"/>
      <c r="U13" s="46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x14ac:dyDescent="0.25">
      <c r="A14" s="17"/>
      <c r="B14" s="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8"/>
      <c r="P14" s="18"/>
      <c r="Q14" s="18"/>
      <c r="R14" s="18"/>
      <c r="S14" s="16"/>
      <c r="U14" s="46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25">
      <c r="A15" s="17"/>
      <c r="B15" s="1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8"/>
      <c r="P15" s="18"/>
      <c r="Q15" s="18"/>
      <c r="R15" s="18"/>
      <c r="S15" s="16"/>
      <c r="U15" s="46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25">
      <c r="A16" s="17"/>
      <c r="B16" s="1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8"/>
      <c r="P16" s="18"/>
      <c r="Q16" s="18"/>
      <c r="R16" s="18"/>
      <c r="S16" s="16"/>
      <c r="U16" s="46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25">
      <c r="A17" s="17"/>
      <c r="B17" s="1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8"/>
      <c r="P17" s="18"/>
      <c r="Q17" s="18"/>
      <c r="R17" s="18"/>
      <c r="S17" s="16"/>
      <c r="U17" s="46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25">
      <c r="A18" s="17"/>
      <c r="B18" s="1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8"/>
      <c r="P18" s="18"/>
      <c r="Q18" s="18"/>
      <c r="R18" s="18"/>
      <c r="S18" s="16"/>
      <c r="U18" s="46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A19" s="17"/>
      <c r="B19" s="1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8"/>
      <c r="P19" s="18"/>
      <c r="Q19" s="18"/>
      <c r="R19" s="18"/>
      <c r="S19" s="16"/>
      <c r="U19" s="4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x14ac:dyDescent="0.25">
      <c r="A20" s="17"/>
      <c r="B20" s="1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8"/>
      <c r="P20" s="18"/>
      <c r="Q20" s="18"/>
      <c r="R20" s="18"/>
      <c r="S20" s="16"/>
      <c r="U20" s="46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25">
      <c r="A21" s="17"/>
      <c r="B21" s="1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8"/>
      <c r="P21" s="18"/>
      <c r="Q21" s="18"/>
      <c r="R21" s="18"/>
      <c r="S21" s="16"/>
      <c r="U21" s="46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x14ac:dyDescent="0.25">
      <c r="A22" s="17"/>
      <c r="B22" s="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8"/>
      <c r="P22" s="18"/>
      <c r="Q22" s="18"/>
      <c r="R22" s="18"/>
      <c r="S22" s="16"/>
      <c r="U22" s="4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25">
      <c r="A23" s="17"/>
      <c r="B23" s="1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8"/>
      <c r="P23" s="18"/>
      <c r="Q23" s="18"/>
      <c r="R23" s="18"/>
      <c r="S23" s="16"/>
      <c r="U23" s="4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x14ac:dyDescent="0.25">
      <c r="A24" s="17"/>
      <c r="B24" s="1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8"/>
      <c r="P24" s="18"/>
      <c r="Q24" s="18"/>
      <c r="R24" s="18"/>
      <c r="S24" s="16"/>
      <c r="U24" s="46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25">
      <c r="A25" s="17"/>
      <c r="B25" s="1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8"/>
      <c r="P25" s="18"/>
      <c r="Q25" s="18"/>
      <c r="R25" s="18"/>
      <c r="S25" s="16"/>
      <c r="U25" s="4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5.75" thickBot="1" x14ac:dyDescent="0.3">
      <c r="A26" s="33"/>
      <c r="B26" s="3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6"/>
      <c r="P26" s="36"/>
      <c r="Q26" s="36"/>
      <c r="R26" s="36"/>
      <c r="S26" s="35"/>
      <c r="U26" s="1"/>
    </row>
    <row r="27" spans="1:37" ht="15.75" thickTop="1" x14ac:dyDescent="0.25">
      <c r="B27" s="2"/>
      <c r="O27" s="2"/>
      <c r="P27" s="2"/>
      <c r="Q27" s="2"/>
      <c r="R27" s="2"/>
      <c r="S27" s="3"/>
      <c r="U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5463-496C-4E2E-8E30-B51FA4998386}">
  <dimension ref="A1"/>
  <sheetViews>
    <sheetView workbookViewId="0">
      <selection activeCell="F20" sqref="F20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C545-2AE7-4CDC-B992-F81F9420F274}">
  <dimension ref="A1"/>
  <sheetViews>
    <sheetView workbookViewId="0">
      <selection activeCell="H19" sqref="H19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D01C-55B1-41FF-8259-7A80799C7001}">
  <dimension ref="A1"/>
  <sheetViews>
    <sheetView workbookViewId="0">
      <selection activeCell="G14" sqref="G14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92A7-133F-4684-8A4C-863BF3B33039}">
  <dimension ref="A1"/>
  <sheetViews>
    <sheetView workbookViewId="0">
      <selection activeCell="J19" sqref="J19"/>
    </sheetView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82A3-F525-414C-92ED-C492AF09D98B}">
  <dimension ref="A1"/>
  <sheetViews>
    <sheetView workbookViewId="0">
      <selection activeCell="K18" sqref="K18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06D7-1BC8-417E-8F31-8A4971065098}">
  <dimension ref="A1"/>
  <sheetViews>
    <sheetView workbookViewId="0">
      <selection activeCell="J17" sqref="J1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x280</dc:creator>
  <cp:lastModifiedBy>x280</cp:lastModifiedBy>
  <dcterms:created xsi:type="dcterms:W3CDTF">2026-05-05T20:10:15Z</dcterms:created>
  <dcterms:modified xsi:type="dcterms:W3CDTF">2026-06-04T17:09:54Z</dcterms:modified>
</cp:coreProperties>
</file>